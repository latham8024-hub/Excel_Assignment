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xr:revisionPtr revIDLastSave="307" documentId="11_FC97B2C0AA8812D006F68E42FB5C2BDFB09B73D2" xr6:coauthVersionLast="47" xr6:coauthVersionMax="47" xr10:uidLastSave="{B194296C-DF90-4996-80E9-E3CF2243B0C6}"/>
  <bookViews>
    <workbookView xWindow="0" yWindow="0" windowWidth="23040" windowHeight="9000" firstSheet="1" activeTab="1" xr2:uid="{00000000-000D-0000-FFFF-FFFF00000000}"/>
  </bookViews>
  <sheets>
    <sheet name="Dataset" sheetId="1" r:id="rId1"/>
    <sheet name="Assignment" sheetId="2" r:id="rId2"/>
    <sheet name="Duplicates remov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L1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M2" i="2"/>
  <c r="L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J16" i="2"/>
  <c r="I8" i="2"/>
  <c r="H2" i="1" a="1"/>
  <c r="H2" i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J34" i="2"/>
  <c r="J35" i="2"/>
  <c r="J33" i="2"/>
  <c r="I33" i="2"/>
  <c r="I34" i="2"/>
  <c r="I35" i="2"/>
  <c r="H34" i="2"/>
  <c r="H35" i="2"/>
  <c r="H33" i="2"/>
  <c r="G34" i="2"/>
  <c r="G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H2" i="2"/>
  <c r="I2" i="2"/>
  <c r="G2" i="2"/>
  <c r="J2" i="2"/>
  <c r="H13" i="2"/>
  <c r="J13" i="2"/>
  <c r="H14" i="2"/>
  <c r="J14" i="2"/>
  <c r="H16" i="2"/>
  <c r="I16" i="2"/>
  <c r="H18" i="2"/>
  <c r="I18" i="2"/>
  <c r="J18" i="2"/>
  <c r="H19" i="2"/>
  <c r="I19" i="2"/>
  <c r="J19" i="2"/>
  <c r="H25" i="2"/>
  <c r="I25" i="2"/>
  <c r="J25" i="2"/>
  <c r="H26" i="2"/>
  <c r="I26" i="2"/>
  <c r="J26" i="2"/>
  <c r="H27" i="2"/>
  <c r="I27" i="2"/>
  <c r="J27" i="2"/>
  <c r="H30" i="2"/>
  <c r="I30" i="2"/>
  <c r="J30" i="2"/>
  <c r="J3" i="2"/>
  <c r="J4" i="2"/>
  <c r="J5" i="2"/>
  <c r="J6" i="2"/>
  <c r="J7" i="2"/>
  <c r="J8" i="2"/>
  <c r="J9" i="2"/>
  <c r="J10" i="2"/>
  <c r="J11" i="2"/>
  <c r="J12" i="2"/>
  <c r="J15" i="2"/>
  <c r="J17" i="2"/>
  <c r="J20" i="2"/>
  <c r="J21" i="2"/>
  <c r="J22" i="2"/>
  <c r="J23" i="2"/>
  <c r="J24" i="2"/>
  <c r="J28" i="2"/>
  <c r="J29" i="2"/>
  <c r="J31" i="2"/>
  <c r="J32" i="2"/>
  <c r="I3" i="2"/>
  <c r="I4" i="2"/>
  <c r="I5" i="2"/>
  <c r="I7" i="2"/>
  <c r="I9" i="2"/>
  <c r="I10" i="2"/>
  <c r="I11" i="2"/>
  <c r="I12" i="2"/>
  <c r="I15" i="2"/>
  <c r="I17" i="2"/>
  <c r="I20" i="2"/>
  <c r="I21" i="2"/>
  <c r="I22" i="2"/>
  <c r="I23" i="2"/>
  <c r="I28" i="2"/>
  <c r="I29" i="2"/>
  <c r="I31" i="2"/>
  <c r="I32" i="2"/>
  <c r="H32" i="2"/>
  <c r="H31" i="2"/>
  <c r="H29" i="2"/>
  <c r="H28" i="2"/>
  <c r="H24" i="2"/>
  <c r="H23" i="2"/>
  <c r="H22" i="2"/>
  <c r="H21" i="2"/>
  <c r="H20" i="2"/>
  <c r="H17" i="2"/>
  <c r="H15" i="2"/>
  <c r="H12" i="2"/>
  <c r="H11" i="2"/>
  <c r="H10" i="2"/>
  <c r="H9" i="2"/>
  <c r="H8" i="2"/>
  <c r="H7" i="2"/>
  <c r="H6" i="2"/>
  <c r="H5" i="2"/>
  <c r="H4" i="2"/>
  <c r="H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<sst xmlns="http://schemas.openxmlformats.org/spreadsheetml/2006/main" count="485" uniqueCount="111">
  <si>
    <t>Product ID</t>
  </si>
  <si>
    <t>Product Name</t>
  </si>
  <si>
    <t>Brand Name</t>
  </si>
  <si>
    <t>Price ($)</t>
  </si>
  <si>
    <t>Quantity</t>
  </si>
  <si>
    <t>Category</t>
  </si>
  <si>
    <t>Missing colum</t>
  </si>
  <si>
    <t>Missing price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</si>
  <si>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</si>
  <si>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</si>
  <si>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</si>
  <si>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</si>
  <si>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</si>
  <si>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</si>
  <si>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</si>
  <si>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</si>
  <si>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</si>
  <si>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</si>
  <si>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</si>
  <si>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</si>
  <si>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</si>
  <si>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</si>
  <si>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</si>
  <si>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</si>
  <si>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</si>
  <si>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</si>
  <si>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</si>
  <si>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</si>
  <si>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</si>
  <si>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</si>
  <si>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</si>
  <si>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</si>
  <si>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</si>
  <si>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</si>
  <si>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</si>
  <si>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</si>
  <si>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</si>
  <si>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</si>
  <si>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</si>
  <si>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</si>
  <si>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</si>
  <si>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</si>
  <si>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</si>
  <si>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</si>
  <si>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</si>
  <si>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</si>
  <si>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</si>
  <si>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</si>
  <si>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</si>
  <si>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</si>
  <si>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</si>
  <si>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</si>
  <si>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</si>
  <si>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</si>
  <si>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</si>
  <si>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</si>
  <si>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</si>
  <si>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</si>
  <si>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</si>
  <si>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</si>
  <si>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</si>
  <si>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</si>
  <si>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</si>
  <si>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</si>
  <si>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</si>
  <si>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</si>
  <si>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</si>
  <si>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</si>
  <si>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</si>
  <si>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</si>
  <si>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</si>
  <si>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</si>
  <si>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</si>
  <si>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</si>
  <si>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</si>
  <si>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</si>
  <si>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</si>
  <si>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</si>
  <si>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</si>
  <si>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</si>
  <si>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</si>
  <si>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</si>
  <si>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</si>
  <si>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</si>
  <si>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</si>
  <si>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</si>
  <si>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</si>
  <si>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</si>
  <si>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</si>
  <si>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</si>
  <si>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</si>
  <si>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</si>
  <si>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</si>
  <si>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</si>
  <si>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</si>
  <si>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</si>
  <si>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</si>
  <si>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</si>
  <si>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</si>
  <si>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</si>
  <si>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3 blank</t>
  </si>
  <si>
    <t>Missing price 309</t>
  </si>
  <si>
    <t>Handling Missing values</t>
  </si>
  <si>
    <t>inconsistent text formats</t>
  </si>
  <si>
    <t>typos present</t>
  </si>
  <si>
    <t>Manufacturing Date</t>
  </si>
  <si>
    <t>Country Code</t>
  </si>
  <si>
    <t>"Product Brand".</t>
  </si>
  <si>
    <t>currency format</t>
  </si>
  <si>
    <t>Conditional scale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</si>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</sst>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1" formatCode="&quot;$&quot;#,##0.00"/>
    <numFmt numFmtId="173" formatCode="dd\-mm\-yyyy"/>
  </numFmts>
  <fonts count="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&quot;Arial Unicode MS&quot;"/>
      <charset val="134"/>
    </font>
    <font>
      <sz val="10"/>
      <color rgb="FFFF0000"/>
      <name val="Arial"/>
      <charset val="134"/>
      <scheme val="minor"/>
    </font>
    <font>
      <sz val="10"/>
      <color rgb="FFFF0000"/>
      <name val="Arial"/>
      <charset val="134"/>
    </font>
    <font>
      <sz val="10"/>
      <color rgb="FF00B050"/>
      <name val="Arial"/>
      <charset val="134"/>
      <scheme val="minor"/>
    </font>
    <font>
      <sz val="10"/>
      <color theme="5"/>
      <name val="Arial"/>
      <charset val="134"/>
      <scheme val="minor"/>
    </font>
    <font>
      <sz val="12"/>
      <color theme="5"/>
      <name val="WordVisi_MSFontService"/>
      <charset val="1"/>
    </font>
  </fonts>
  <fills count="1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1F1D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" fontId="0" fillId="0" borderId="0" xfId="0" applyNumberFormat="1"/>
    <xf numFmtId="0" fontId="2" fillId="4" borderId="1" xfId="0" applyFont="1" applyFill="1" applyBorder="1"/>
    <xf numFmtId="0" fontId="2" fillId="5" borderId="0" xfId="0" applyFont="1" applyFill="1"/>
    <xf numFmtId="0" fontId="2" fillId="5" borderId="1" xfId="0" applyFont="1" applyFill="1" applyBorder="1"/>
    <xf numFmtId="1" fontId="0" fillId="3" borderId="0" xfId="0" applyNumberFormat="1" applyFill="1"/>
    <xf numFmtId="0" fontId="2" fillId="5" borderId="2" xfId="0" applyFont="1" applyFill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6" borderId="0" xfId="0" applyFont="1" applyFill="1"/>
    <xf numFmtId="0" fontId="3" fillId="7" borderId="3" xfId="0" applyFont="1" applyFill="1" applyBorder="1" applyAlignment="1">
      <alignment horizontal="left"/>
    </xf>
    <xf numFmtId="1" fontId="0" fillId="3" borderId="0" xfId="0" applyNumberForma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1" fontId="4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" fontId="0" fillId="6" borderId="0" xfId="0" applyNumberFormat="1" applyFill="1"/>
    <xf numFmtId="0" fontId="2" fillId="5" borderId="5" xfId="0" applyFont="1" applyFill="1" applyBorder="1"/>
    <xf numFmtId="0" fontId="2" fillId="4" borderId="5" xfId="0" applyFont="1" applyFill="1" applyBorder="1"/>
    <xf numFmtId="0" fontId="0" fillId="8" borderId="0" xfId="0" applyFill="1"/>
    <xf numFmtId="0" fontId="2" fillId="5" borderId="6" xfId="0" applyFont="1" applyFill="1" applyBorder="1"/>
    <xf numFmtId="0" fontId="0" fillId="0" borderId="0" xfId="0" applyBorder="1" applyAlignment="1">
      <alignment horizontal="right"/>
    </xf>
    <xf numFmtId="0" fontId="0" fillId="12" borderId="0" xfId="0" applyFill="1"/>
    <xf numFmtId="0" fontId="5" fillId="5" borderId="5" xfId="0" applyFont="1" applyFill="1" applyBorder="1"/>
    <xf numFmtId="0" fontId="5" fillId="4" borderId="5" xfId="0" applyFont="1" applyFill="1" applyBorder="1"/>
    <xf numFmtId="0" fontId="6" fillId="9" borderId="0" xfId="0" applyFont="1" applyFill="1"/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2" fillId="5" borderId="0" xfId="0" applyNumberFormat="1" applyFont="1" applyFill="1"/>
    <xf numFmtId="0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7" fillId="12" borderId="0" xfId="0" applyFont="1" applyFill="1"/>
    <xf numFmtId="171" fontId="0" fillId="0" borderId="0" xfId="0" applyNumberFormat="1"/>
    <xf numFmtId="171" fontId="8" fillId="13" borderId="0" xfId="0" applyNumberFormat="1" applyFont="1" applyFill="1"/>
    <xf numFmtId="171" fontId="2" fillId="4" borderId="1" xfId="0" applyNumberFormat="1" applyFont="1" applyFill="1" applyBorder="1"/>
    <xf numFmtId="171" fontId="2" fillId="5" borderId="1" xfId="0" applyNumberFormat="1" applyFont="1" applyFill="1" applyBorder="1"/>
    <xf numFmtId="171" fontId="2" fillId="5" borderId="2" xfId="0" applyNumberFormat="1" applyFont="1" applyFill="1" applyBorder="1"/>
    <xf numFmtId="173" fontId="6" fillId="14" borderId="0" xfId="0" applyNumberFormat="1" applyFont="1" applyFill="1"/>
    <xf numFmtId="173" fontId="0" fillId="0" borderId="0" xfId="0" applyNumberFormat="1"/>
    <xf numFmtId="49" fontId="0" fillId="0" borderId="0" xfId="0" applyNumberFormat="1"/>
    <xf numFmtId="49" fontId="6" fillId="9" borderId="0" xfId="0" applyNumberFormat="1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1" fontId="0" fillId="10" borderId="0" xfId="0" applyNumberFormat="1" applyFill="1" applyAlignment="1">
      <alignment horizontal="center"/>
    </xf>
    <xf numFmtId="0" fontId="0" fillId="10" borderId="0" xfId="0" applyFill="1"/>
    <xf numFmtId="1" fontId="0" fillId="11" borderId="0" xfId="0" applyNumberFormat="1" applyFill="1" applyAlignment="1">
      <alignment horizontal="center"/>
    </xf>
    <xf numFmtId="0" fontId="0" fillId="11" borderId="0" xfId="0" applyFill="1"/>
  </cellXfs>
  <cellStyles count="1">
    <cellStyle name="Normal" xfId="0" builtinId="0"/>
  </cellStyles>
  <dxfs count="36"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ont>
        <b val="0"/>
        <i val="0"/>
        <strike val="0"/>
        <u val="none"/>
        <sz val="10"/>
        <color rgb="FF000000"/>
        <name val="Arial"/>
        <charset val="134"/>
        <scheme val="minor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_tb" displayName="Product_tb" ref="A1:F35" totalsRowShown="0">
  <tableColumns count="6">
    <tableColumn id="1" xr3:uid="{00000000-0010-0000-0000-000001000000}" name="Product ID" dataDxfId="18"/>
    <tableColumn id="2" xr3:uid="{00000000-0010-0000-0000-000002000000}" name="Product Name" dataDxfId="17"/>
    <tableColumn id="3" xr3:uid="{00000000-0010-0000-0000-000003000000}" name="Brand Name" dataDxfId="16"/>
    <tableColumn id="4" xr3:uid="{00000000-0010-0000-0000-000004000000}" name="Price ($)" dataDxfId="15"/>
    <tableColumn id="5" xr3:uid="{00000000-0010-0000-0000-000005000000}" name="Quantity" dataDxfId="14"/>
    <tableColumn id="6" xr3:uid="{00000000-0010-0000-0000-000006000000}" name="Category" dataDxfId="13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roduct_db" displayName="Product_db" ref="A1:F35" totalsRowShown="0">
  <tableColumns count="6">
    <tableColumn id="1" xr3:uid="{00000000-0010-0000-0100-000001000000}" name="Product ID" dataDxfId="11"/>
    <tableColumn id="2" xr3:uid="{00000000-0010-0000-0100-000002000000}" name="Product Name" dataDxfId="10"/>
    <tableColumn id="3" xr3:uid="{00000000-0010-0000-0100-000003000000}" name="Brand Name" dataDxfId="9"/>
    <tableColumn id="4" xr3:uid="{00000000-0010-0000-0100-000004000000}" name="Price ($)" dataDxfId="8"/>
    <tableColumn id="5" xr3:uid="{00000000-0010-0000-0100-000005000000}" name="Quantity" dataDxfId="7"/>
    <tableColumn id="6" xr3:uid="{00000000-0010-0000-0100-000006000000}" name="Category" dataDxfId="6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7A9B92-C025-4382-95B8-4BA989DE4FD3}" name="Product_tb5" displayName="Product_tb5" ref="A1:F32" totalsRowShown="0">
  <tableColumns count="6">
    <tableColumn id="1" xr3:uid="{D0439BEE-AC94-4B99-8312-1D4BF10EAB2C}" name="Product ID" dataDxfId="5"/>
    <tableColumn id="2" xr3:uid="{E9F60C1E-FD5E-4147-8A75-8D906A28939D}" name="Product Name" dataDxfId="4"/>
    <tableColumn id="3" xr3:uid="{1A8590BC-93AF-42EB-89F2-CFE2A0390721}" name="Brand Name" dataDxfId="3"/>
    <tableColumn id="4" xr3:uid="{72091538-9869-4432-8383-9B913CBF3C63}" name="Price ($)" dataDxfId="2"/>
    <tableColumn id="5" xr3:uid="{FEF542B9-90BD-4C72-86E1-9DAB610DA59A}" name="Quantity" dataDxfId="1"/>
    <tableColumn id="6" xr3:uid="{C833E6DF-18E4-455C-B0EC-BD9CC2D867D2}" name="Category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opLeftCell="A24" workbookViewId="0">
      <selection sqref="A1:F35"/>
    </sheetView>
  </sheetViews>
  <sheetFormatPr defaultColWidth="12.5703125" defaultRowHeight="15" customHeight="1"/>
  <cols>
    <col min="7" max="7" width="9.140625" customWidth="1"/>
    <col min="8" max="8" width="23.7109375" style="10" customWidth="1"/>
    <col min="9" max="9" width="22.140625" style="11" customWidth="1"/>
    <col min="10" max="10" width="12.85546875"/>
  </cols>
  <sheetData>
    <row r="1" spans="1:17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46" t="s">
        <v>6</v>
      </c>
      <c r="I1" s="47" t="s">
        <v>7</v>
      </c>
      <c r="J1" s="48" t="s">
        <v>8</v>
      </c>
      <c r="K1" s="48"/>
      <c r="L1" s="48"/>
      <c r="M1" s="48"/>
      <c r="N1" s="48"/>
      <c r="O1" s="48"/>
      <c r="P1" s="48"/>
      <c r="Q1" s="48"/>
    </row>
    <row r="2" spans="1:17" ht="15.75" customHeight="1">
      <c r="A2" s="33" t="s">
        <v>9</v>
      </c>
      <c r="B2" s="33" t="s">
        <v>10</v>
      </c>
      <c r="C2" s="33" t="s">
        <v>11</v>
      </c>
      <c r="D2" s="33">
        <v>1000</v>
      </c>
      <c r="E2" s="33">
        <v>30</v>
      </c>
      <c r="F2" s="33" t="s">
        <v>12</v>
      </c>
      <c r="H2" s="10" t="e" cm="1">
        <f t="array" aca="1" ref="H2" ca="1">Assignment!G3IF(ISBLANK(D2),"unknown",D2)</f>
        <v>#NAME?</v>
      </c>
      <c r="I2" s="11">
        <f>IF(ISBLANK(D2),AVERAGE($D$2:$D$35),D2)</f>
        <v>1000</v>
      </c>
      <c r="J2" t="str">
        <f>IF(ISBLANK(F2),"Unknown",F2)</f>
        <v>Electronics</v>
      </c>
    </row>
    <row r="3" spans="1:17" ht="15.75" customHeight="1">
      <c r="A3" s="6" t="s">
        <v>13</v>
      </c>
      <c r="B3" s="6" t="s">
        <v>14</v>
      </c>
      <c r="C3" s="6" t="s">
        <v>15</v>
      </c>
      <c r="D3" s="6">
        <v>80</v>
      </c>
      <c r="E3" s="6">
        <v>15</v>
      </c>
      <c r="F3" s="6" t="s">
        <v>16</v>
      </c>
      <c r="H3" s="10">
        <f t="shared" ref="H3:H35" si="0">IF(ISBLANK(D3),"unknown",D3)</f>
        <v>80</v>
      </c>
      <c r="I3" s="11">
        <f t="shared" ref="I3:I35" si="1">IF(ISBLANK(D3),AVERAGE($D$2:$D$35),D3)</f>
        <v>80</v>
      </c>
      <c r="J3" t="str">
        <f t="shared" ref="J3:J35" si="2">IF(ISBLANK(F3),"Unknown",F3)</f>
        <v>Fashion</v>
      </c>
      <c r="K3" s="33"/>
      <c r="L3" s="33"/>
      <c r="M3" s="33"/>
      <c r="N3" s="33"/>
      <c r="O3" s="33"/>
      <c r="P3" s="33"/>
    </row>
    <row r="4" spans="1:17" ht="15.75" customHeight="1">
      <c r="A4" s="33" t="s">
        <v>17</v>
      </c>
      <c r="B4" s="33" t="s">
        <v>18</v>
      </c>
      <c r="C4" s="33" t="s">
        <v>19</v>
      </c>
      <c r="D4" s="33">
        <v>130</v>
      </c>
      <c r="E4" s="33">
        <v>40</v>
      </c>
      <c r="F4" s="33" t="s">
        <v>20</v>
      </c>
      <c r="H4" s="10">
        <f t="shared" si="0"/>
        <v>130</v>
      </c>
      <c r="I4" s="11">
        <f t="shared" si="1"/>
        <v>130</v>
      </c>
      <c r="J4" t="str">
        <f t="shared" si="2"/>
        <v>Kitchen</v>
      </c>
      <c r="K4" s="33"/>
      <c r="L4" s="12"/>
      <c r="M4" s="33"/>
      <c r="N4" s="33"/>
      <c r="O4" s="33"/>
      <c r="P4" s="33"/>
    </row>
    <row r="5" spans="1:17" ht="15.75" customHeight="1">
      <c r="A5" s="6" t="s">
        <v>21</v>
      </c>
      <c r="B5" s="6" t="s">
        <v>22</v>
      </c>
      <c r="C5" s="6" t="s">
        <v>23</v>
      </c>
      <c r="D5" s="6">
        <v>900</v>
      </c>
      <c r="E5" s="6">
        <v>25</v>
      </c>
      <c r="F5" s="6" t="s">
        <v>12</v>
      </c>
      <c r="H5" s="10">
        <f t="shared" si="0"/>
        <v>900</v>
      </c>
      <c r="I5" s="11">
        <f t="shared" si="1"/>
        <v>900</v>
      </c>
      <c r="J5" t="str">
        <f t="shared" si="2"/>
        <v>Electronics</v>
      </c>
      <c r="K5" s="33"/>
      <c r="L5" s="33"/>
      <c r="M5" s="33"/>
      <c r="N5" s="33"/>
      <c r="O5" s="33"/>
      <c r="P5" s="33"/>
    </row>
    <row r="6" spans="1:17" ht="15.75" customHeight="1">
      <c r="A6" s="33" t="s">
        <v>24</v>
      </c>
      <c r="B6" s="33" t="s">
        <v>25</v>
      </c>
      <c r="C6" s="33" t="s">
        <v>26</v>
      </c>
      <c r="D6" s="33">
        <v>70</v>
      </c>
      <c r="E6" s="33">
        <v>20</v>
      </c>
      <c r="F6" s="33"/>
      <c r="H6" s="10">
        <f t="shared" si="0"/>
        <v>70</v>
      </c>
      <c r="I6" s="49">
        <f t="shared" si="1"/>
        <v>70</v>
      </c>
      <c r="J6" s="50" t="str">
        <f t="shared" si="2"/>
        <v>Unknown</v>
      </c>
      <c r="M6" s="13"/>
    </row>
    <row r="7" spans="1:17" ht="15.75" customHeight="1">
      <c r="A7" s="6" t="s">
        <v>27</v>
      </c>
      <c r="B7" s="6" t="s">
        <v>28</v>
      </c>
      <c r="C7" s="6" t="s">
        <v>29</v>
      </c>
      <c r="D7" s="6"/>
      <c r="E7" s="6">
        <v>45</v>
      </c>
      <c r="F7" s="6" t="s">
        <v>30</v>
      </c>
      <c r="H7" s="3" t="str">
        <f t="shared" si="0"/>
        <v>unknown</v>
      </c>
      <c r="I7" s="14">
        <f t="shared" si="1"/>
        <v>309.35483870967744</v>
      </c>
      <c r="J7" t="str">
        <f t="shared" si="2"/>
        <v>Electroni</v>
      </c>
    </row>
    <row r="8" spans="1:17" ht="15.75" customHeight="1">
      <c r="A8" s="33" t="s">
        <v>31</v>
      </c>
      <c r="B8" s="33" t="s">
        <v>32</v>
      </c>
      <c r="C8" s="33" t="s">
        <v>33</v>
      </c>
      <c r="D8" s="33">
        <v>30</v>
      </c>
      <c r="E8" s="33">
        <v>5</v>
      </c>
      <c r="F8" s="33" t="s">
        <v>16</v>
      </c>
      <c r="H8" s="10">
        <f t="shared" si="0"/>
        <v>30</v>
      </c>
      <c r="I8" s="11">
        <f t="shared" si="1"/>
        <v>30</v>
      </c>
      <c r="J8" t="str">
        <f t="shared" si="2"/>
        <v>Fashion</v>
      </c>
    </row>
    <row r="9" spans="1:17" ht="15.75" customHeight="1">
      <c r="A9" s="6" t="s">
        <v>34</v>
      </c>
      <c r="B9" s="6" t="s">
        <v>35</v>
      </c>
      <c r="C9" s="6" t="s">
        <v>36</v>
      </c>
      <c r="D9" s="6">
        <v>90</v>
      </c>
      <c r="E9" s="6">
        <v>35</v>
      </c>
      <c r="F9" s="6" t="s">
        <v>20</v>
      </c>
      <c r="H9" s="10">
        <f t="shared" si="0"/>
        <v>90</v>
      </c>
      <c r="I9" s="11">
        <f t="shared" si="1"/>
        <v>90</v>
      </c>
      <c r="J9" t="str">
        <f t="shared" si="2"/>
        <v>Kitchen</v>
      </c>
    </row>
    <row r="10" spans="1:17" ht="15.75" customHeight="1">
      <c r="A10" s="33" t="s">
        <v>37</v>
      </c>
      <c r="B10" s="33" t="s">
        <v>38</v>
      </c>
      <c r="C10" s="33" t="s">
        <v>39</v>
      </c>
      <c r="D10" s="33">
        <v>500</v>
      </c>
      <c r="E10" s="33">
        <v>50</v>
      </c>
      <c r="F10" s="33" t="s">
        <v>12</v>
      </c>
      <c r="H10" s="10">
        <f t="shared" si="0"/>
        <v>500</v>
      </c>
      <c r="I10" s="11">
        <f t="shared" si="1"/>
        <v>500</v>
      </c>
      <c r="J10" t="str">
        <f t="shared" si="2"/>
        <v>Electronics</v>
      </c>
    </row>
    <row r="11" spans="1:17" ht="15.75" customHeight="1">
      <c r="A11" s="6" t="s">
        <v>40</v>
      </c>
      <c r="B11" s="6" t="s">
        <v>41</v>
      </c>
      <c r="C11" s="6" t="s">
        <v>42</v>
      </c>
      <c r="D11" s="6">
        <v>130</v>
      </c>
      <c r="E11" s="6">
        <v>10</v>
      </c>
      <c r="F11" s="6" t="s">
        <v>43</v>
      </c>
      <c r="H11" s="10">
        <f t="shared" si="0"/>
        <v>130</v>
      </c>
      <c r="I11" s="11">
        <f t="shared" si="1"/>
        <v>130</v>
      </c>
      <c r="J11" t="str">
        <f t="shared" si="2"/>
        <v>Outdoor</v>
      </c>
    </row>
    <row r="12" spans="1:17" ht="15.75" customHeight="1">
      <c r="A12" s="33" t="s">
        <v>44</v>
      </c>
      <c r="B12" s="33" t="s">
        <v>45</v>
      </c>
      <c r="C12" s="33" t="s">
        <v>46</v>
      </c>
      <c r="D12" s="33">
        <v>950</v>
      </c>
      <c r="E12" s="33">
        <v>25</v>
      </c>
      <c r="F12" s="33" t="s">
        <v>12</v>
      </c>
      <c r="H12" s="10">
        <f t="shared" si="0"/>
        <v>950</v>
      </c>
      <c r="I12" s="11">
        <f t="shared" si="1"/>
        <v>950</v>
      </c>
      <c r="J12" t="str">
        <f t="shared" si="2"/>
        <v>Electronics</v>
      </c>
    </row>
    <row r="13" spans="1:17" ht="15.75" customHeight="1">
      <c r="A13" s="6" t="s">
        <v>47</v>
      </c>
      <c r="B13" s="6" t="s">
        <v>14</v>
      </c>
      <c r="C13" s="6" t="s">
        <v>33</v>
      </c>
      <c r="D13" s="6">
        <v>90</v>
      </c>
      <c r="E13" s="6">
        <v>40</v>
      </c>
      <c r="F13" s="6"/>
      <c r="H13" s="10">
        <f t="shared" si="0"/>
        <v>90</v>
      </c>
      <c r="I13" s="49">
        <f t="shared" si="1"/>
        <v>90</v>
      </c>
      <c r="J13" s="50" t="str">
        <f t="shared" si="2"/>
        <v>Unknown</v>
      </c>
    </row>
    <row r="14" spans="1:17" ht="15.75" customHeight="1">
      <c r="A14" s="33" t="s">
        <v>48</v>
      </c>
      <c r="B14" s="33" t="s">
        <v>18</v>
      </c>
      <c r="C14" s="33" t="s">
        <v>49</v>
      </c>
      <c r="D14" s="33">
        <v>120</v>
      </c>
      <c r="E14" s="33">
        <v>35</v>
      </c>
      <c r="F14" s="33"/>
      <c r="H14" s="10">
        <f t="shared" si="0"/>
        <v>120</v>
      </c>
      <c r="I14" s="49">
        <f t="shared" si="1"/>
        <v>120</v>
      </c>
      <c r="J14" s="50" t="str">
        <f t="shared" si="2"/>
        <v>Unknown</v>
      </c>
    </row>
    <row r="15" spans="1:17" ht="15.75" customHeight="1">
      <c r="A15" s="6" t="s">
        <v>50</v>
      </c>
      <c r="B15" s="6" t="s">
        <v>51</v>
      </c>
      <c r="C15" s="6" t="s">
        <v>52</v>
      </c>
      <c r="D15" s="6">
        <v>150</v>
      </c>
      <c r="E15" s="6">
        <v>15</v>
      </c>
      <c r="F15" s="6" t="s">
        <v>30</v>
      </c>
      <c r="H15" s="10">
        <f t="shared" si="0"/>
        <v>150</v>
      </c>
      <c r="I15" s="11">
        <f t="shared" si="1"/>
        <v>150</v>
      </c>
      <c r="J15" t="str">
        <f t="shared" si="2"/>
        <v>Electroni</v>
      </c>
    </row>
    <row r="16" spans="1:17" ht="15.75" customHeight="1">
      <c r="A16" s="33" t="s">
        <v>53</v>
      </c>
      <c r="B16" s="33" t="s">
        <v>54</v>
      </c>
      <c r="C16" s="33" t="s">
        <v>55</v>
      </c>
      <c r="D16" s="33">
        <v>250</v>
      </c>
      <c r="E16" s="33">
        <v>20</v>
      </c>
      <c r="F16" s="33" t="s">
        <v>30</v>
      </c>
      <c r="H16" s="10">
        <f t="shared" si="0"/>
        <v>250</v>
      </c>
      <c r="I16" s="11">
        <f t="shared" si="1"/>
        <v>250</v>
      </c>
      <c r="J16" t="str">
        <f t="shared" si="2"/>
        <v>Electroni</v>
      </c>
    </row>
    <row r="17" spans="1:10" ht="15.75" customHeight="1">
      <c r="A17" s="6" t="s">
        <v>56</v>
      </c>
      <c r="B17" s="6" t="s">
        <v>57</v>
      </c>
      <c r="C17" s="6" t="s">
        <v>58</v>
      </c>
      <c r="D17" s="6">
        <v>50</v>
      </c>
      <c r="E17" s="6">
        <v>35</v>
      </c>
      <c r="F17" s="6" t="s">
        <v>59</v>
      </c>
      <c r="H17" s="10">
        <f t="shared" si="0"/>
        <v>50</v>
      </c>
      <c r="I17" s="11">
        <f t="shared" si="1"/>
        <v>50</v>
      </c>
      <c r="J17" t="str">
        <f t="shared" si="2"/>
        <v>Accessories</v>
      </c>
    </row>
    <row r="18" spans="1:10" ht="15.75" customHeight="1">
      <c r="A18" s="33" t="s">
        <v>60</v>
      </c>
      <c r="B18" s="33" t="s">
        <v>51</v>
      </c>
      <c r="C18" s="33" t="s">
        <v>61</v>
      </c>
      <c r="D18" s="33">
        <v>160</v>
      </c>
      <c r="E18" s="33">
        <v>15</v>
      </c>
      <c r="F18" s="33" t="s">
        <v>30</v>
      </c>
      <c r="H18" s="10">
        <f t="shared" si="0"/>
        <v>160</v>
      </c>
      <c r="I18" s="11">
        <f t="shared" si="1"/>
        <v>160</v>
      </c>
      <c r="J18" t="str">
        <f t="shared" si="2"/>
        <v>Electroni</v>
      </c>
    </row>
    <row r="19" spans="1:10" ht="15.75" customHeight="1">
      <c r="A19" s="6" t="s">
        <v>62</v>
      </c>
      <c r="B19" s="6" t="s">
        <v>10</v>
      </c>
      <c r="C19" s="6" t="s">
        <v>63</v>
      </c>
      <c r="D19" s="6">
        <v>980</v>
      </c>
      <c r="E19" s="6">
        <v>10</v>
      </c>
      <c r="F19" s="6" t="s">
        <v>12</v>
      </c>
      <c r="H19" s="10">
        <f t="shared" si="0"/>
        <v>980</v>
      </c>
      <c r="I19" s="11">
        <f t="shared" si="1"/>
        <v>980</v>
      </c>
      <c r="J19" t="str">
        <f t="shared" si="2"/>
        <v>Electronics</v>
      </c>
    </row>
    <row r="20" spans="1:10" ht="15.75" customHeight="1">
      <c r="A20" s="33" t="s">
        <v>64</v>
      </c>
      <c r="B20" s="33" t="s">
        <v>65</v>
      </c>
      <c r="C20" s="33" t="s">
        <v>66</v>
      </c>
      <c r="D20" s="33">
        <v>150</v>
      </c>
      <c r="E20" s="33">
        <v>15</v>
      </c>
      <c r="F20" s="33" t="s">
        <v>16</v>
      </c>
      <c r="H20" s="10">
        <f t="shared" si="0"/>
        <v>150</v>
      </c>
      <c r="I20" s="11">
        <f t="shared" si="1"/>
        <v>150</v>
      </c>
      <c r="J20" t="str">
        <f t="shared" si="2"/>
        <v>Fashion</v>
      </c>
    </row>
    <row r="21" spans="1:10" ht="15.75" customHeight="1">
      <c r="A21" s="6" t="s">
        <v>67</v>
      </c>
      <c r="B21" s="6" t="s">
        <v>68</v>
      </c>
      <c r="C21" s="6" t="s">
        <v>69</v>
      </c>
      <c r="D21" s="6"/>
      <c r="E21" s="6">
        <v>10</v>
      </c>
      <c r="F21" s="6" t="s">
        <v>43</v>
      </c>
      <c r="H21" s="3" t="str">
        <f t="shared" si="0"/>
        <v>unknown</v>
      </c>
      <c r="I21" s="14">
        <f t="shared" si="1"/>
        <v>309.35483870967744</v>
      </c>
      <c r="J21" t="str">
        <f t="shared" si="2"/>
        <v>Outdoor</v>
      </c>
    </row>
    <row r="22" spans="1:10" ht="15.75" customHeight="1">
      <c r="A22" s="33" t="s">
        <v>70</v>
      </c>
      <c r="B22" s="33" t="s">
        <v>71</v>
      </c>
      <c r="C22" s="33" t="s">
        <v>72</v>
      </c>
      <c r="D22" s="33">
        <v>700</v>
      </c>
      <c r="E22" s="33">
        <v>50</v>
      </c>
      <c r="F22" s="33" t="s">
        <v>12</v>
      </c>
      <c r="H22" s="10">
        <f t="shared" si="0"/>
        <v>700</v>
      </c>
      <c r="I22" s="11">
        <f t="shared" si="1"/>
        <v>700</v>
      </c>
      <c r="J22" t="str">
        <f t="shared" si="2"/>
        <v>Electronics</v>
      </c>
    </row>
    <row r="23" spans="1:10" ht="15.75" customHeight="1">
      <c r="A23" s="6" t="s">
        <v>73</v>
      </c>
      <c r="B23" s="6" t="s">
        <v>74</v>
      </c>
      <c r="C23" s="6" t="s">
        <v>75</v>
      </c>
      <c r="D23" s="6">
        <v>80</v>
      </c>
      <c r="E23" s="6">
        <v>20</v>
      </c>
      <c r="F23" s="6" t="s">
        <v>20</v>
      </c>
      <c r="H23" s="10">
        <f t="shared" si="0"/>
        <v>80</v>
      </c>
      <c r="I23" s="11">
        <f t="shared" si="1"/>
        <v>80</v>
      </c>
      <c r="J23" t="str">
        <f t="shared" si="2"/>
        <v>Kitchen</v>
      </c>
    </row>
    <row r="24" spans="1:10" ht="15.75" customHeight="1">
      <c r="A24" s="33" t="s">
        <v>76</v>
      </c>
      <c r="B24" s="33" t="s">
        <v>77</v>
      </c>
      <c r="C24" s="33" t="s">
        <v>78</v>
      </c>
      <c r="D24" s="33">
        <v>150</v>
      </c>
      <c r="E24" s="33">
        <v>30</v>
      </c>
      <c r="F24" s="33"/>
      <c r="H24" s="10">
        <f t="shared" si="0"/>
        <v>150</v>
      </c>
      <c r="I24" s="49">
        <f t="shared" si="1"/>
        <v>150</v>
      </c>
      <c r="J24" s="50" t="str">
        <f t="shared" si="2"/>
        <v>Unknown</v>
      </c>
    </row>
    <row r="25" spans="1:10" ht="15.75" customHeight="1">
      <c r="A25" s="6" t="s">
        <v>56</v>
      </c>
      <c r="B25" s="6" t="s">
        <v>57</v>
      </c>
      <c r="C25" s="6" t="s">
        <v>58</v>
      </c>
      <c r="D25" s="6">
        <v>50</v>
      </c>
      <c r="E25" s="6">
        <v>35</v>
      </c>
      <c r="F25" s="6" t="s">
        <v>59</v>
      </c>
      <c r="H25" s="10">
        <f t="shared" si="0"/>
        <v>50</v>
      </c>
      <c r="I25" s="11">
        <f t="shared" si="1"/>
        <v>50</v>
      </c>
      <c r="J25" t="str">
        <f t="shared" si="2"/>
        <v>Accessories</v>
      </c>
    </row>
    <row r="26" spans="1:10" ht="15.75" customHeight="1">
      <c r="A26" s="33" t="s">
        <v>79</v>
      </c>
      <c r="B26" s="33" t="s">
        <v>80</v>
      </c>
      <c r="C26" s="33" t="s">
        <v>81</v>
      </c>
      <c r="D26" s="33">
        <v>800</v>
      </c>
      <c r="E26" s="33">
        <v>45</v>
      </c>
      <c r="F26" s="33" t="s">
        <v>12</v>
      </c>
      <c r="H26" s="10">
        <f t="shared" si="0"/>
        <v>800</v>
      </c>
      <c r="I26" s="11">
        <f t="shared" si="1"/>
        <v>800</v>
      </c>
      <c r="J26" t="str">
        <f t="shared" si="2"/>
        <v>Electronics</v>
      </c>
    </row>
    <row r="27" spans="1:10" ht="15.75" customHeight="1">
      <c r="A27" s="6" t="s">
        <v>82</v>
      </c>
      <c r="B27" s="6" t="s">
        <v>65</v>
      </c>
      <c r="C27" s="6" t="s">
        <v>83</v>
      </c>
      <c r="D27" s="6"/>
      <c r="E27" s="6">
        <v>25</v>
      </c>
      <c r="F27" s="6" t="s">
        <v>16</v>
      </c>
      <c r="H27" s="3" t="str">
        <f t="shared" si="0"/>
        <v>unknown</v>
      </c>
      <c r="I27" s="14">
        <f t="shared" si="1"/>
        <v>309.35483870967744</v>
      </c>
      <c r="J27" t="str">
        <f t="shared" si="2"/>
        <v>Fashion</v>
      </c>
    </row>
    <row r="28" spans="1:10" ht="15.75" customHeight="1">
      <c r="A28" s="33" t="s">
        <v>84</v>
      </c>
      <c r="B28" s="33" t="s">
        <v>35</v>
      </c>
      <c r="C28" s="33" t="s">
        <v>85</v>
      </c>
      <c r="D28" s="33">
        <v>400</v>
      </c>
      <c r="E28" s="33">
        <v>40</v>
      </c>
      <c r="F28" s="33" t="s">
        <v>20</v>
      </c>
      <c r="H28" s="10">
        <f t="shared" si="0"/>
        <v>400</v>
      </c>
      <c r="I28" s="11">
        <f t="shared" si="1"/>
        <v>400</v>
      </c>
      <c r="J28" t="str">
        <f t="shared" si="2"/>
        <v>Kitchen</v>
      </c>
    </row>
    <row r="29" spans="1:10" ht="15.75" customHeight="1">
      <c r="A29" s="6" t="s">
        <v>53</v>
      </c>
      <c r="B29" s="6" t="s">
        <v>54</v>
      </c>
      <c r="C29" s="6" t="s">
        <v>55</v>
      </c>
      <c r="D29" s="6">
        <v>250</v>
      </c>
      <c r="E29" s="6">
        <v>20</v>
      </c>
      <c r="F29" s="6" t="s">
        <v>30</v>
      </c>
      <c r="H29" s="10">
        <f t="shared" si="0"/>
        <v>250</v>
      </c>
      <c r="I29" s="11">
        <f t="shared" si="1"/>
        <v>250</v>
      </c>
      <c r="J29" t="str">
        <f t="shared" si="2"/>
        <v>Electroni</v>
      </c>
    </row>
    <row r="30" spans="1:10" ht="15.75" customHeight="1">
      <c r="A30" s="33" t="s">
        <v>86</v>
      </c>
      <c r="B30" s="33" t="s">
        <v>87</v>
      </c>
      <c r="C30" s="33" t="s">
        <v>88</v>
      </c>
      <c r="D30" s="33">
        <v>60</v>
      </c>
      <c r="E30" s="33">
        <v>30</v>
      </c>
      <c r="F30" s="33" t="s">
        <v>16</v>
      </c>
      <c r="H30" s="10">
        <f t="shared" si="0"/>
        <v>60</v>
      </c>
      <c r="I30" s="11">
        <f t="shared" si="1"/>
        <v>60</v>
      </c>
      <c r="J30" t="str">
        <f t="shared" si="2"/>
        <v>Fashion</v>
      </c>
    </row>
    <row r="31" spans="1:10" ht="15.75" customHeight="1">
      <c r="A31" s="6" t="s">
        <v>89</v>
      </c>
      <c r="B31" s="6" t="s">
        <v>90</v>
      </c>
      <c r="C31" s="6" t="s">
        <v>91</v>
      </c>
      <c r="D31" s="6">
        <v>40</v>
      </c>
      <c r="E31" s="6">
        <v>10</v>
      </c>
      <c r="F31" s="6" t="s">
        <v>20</v>
      </c>
      <c r="H31" s="10">
        <f t="shared" si="0"/>
        <v>40</v>
      </c>
      <c r="I31" s="11">
        <f t="shared" si="1"/>
        <v>40</v>
      </c>
      <c r="J31" t="str">
        <f t="shared" si="2"/>
        <v>Kitchen</v>
      </c>
    </row>
    <row r="32" spans="1:10" ht="15.75" customHeight="1">
      <c r="A32" s="33" t="s">
        <v>92</v>
      </c>
      <c r="B32" s="33" t="s">
        <v>77</v>
      </c>
      <c r="C32" s="33" t="s">
        <v>93</v>
      </c>
      <c r="D32" s="33">
        <v>130</v>
      </c>
      <c r="E32" s="33">
        <v>5</v>
      </c>
      <c r="F32" s="33" t="s">
        <v>12</v>
      </c>
      <c r="H32" s="10">
        <f t="shared" si="0"/>
        <v>130</v>
      </c>
      <c r="I32" s="11">
        <f t="shared" si="1"/>
        <v>130</v>
      </c>
      <c r="J32" t="str">
        <f t="shared" si="2"/>
        <v>Electronics</v>
      </c>
    </row>
    <row r="33" spans="1:10" ht="15.75" customHeight="1">
      <c r="A33" s="6" t="s">
        <v>94</v>
      </c>
      <c r="B33" s="6" t="s">
        <v>95</v>
      </c>
      <c r="C33" s="6" t="s">
        <v>96</v>
      </c>
      <c r="D33" s="6">
        <v>50</v>
      </c>
      <c r="E33" s="6">
        <v>50</v>
      </c>
      <c r="F33" s="6" t="s">
        <v>16</v>
      </c>
      <c r="H33" s="10">
        <f t="shared" si="0"/>
        <v>50</v>
      </c>
      <c r="I33" s="11">
        <f t="shared" si="1"/>
        <v>50</v>
      </c>
      <c r="J33" t="str">
        <f t="shared" si="2"/>
        <v>Fashion</v>
      </c>
    </row>
    <row r="34" spans="1:10" ht="15.75" customHeight="1">
      <c r="A34" s="33" t="s">
        <v>44</v>
      </c>
      <c r="B34" s="33" t="s">
        <v>45</v>
      </c>
      <c r="C34" s="33" t="s">
        <v>46</v>
      </c>
      <c r="D34" s="33">
        <v>950</v>
      </c>
      <c r="E34" s="33">
        <v>25</v>
      </c>
      <c r="F34" s="33" t="s">
        <v>12</v>
      </c>
      <c r="H34" s="10">
        <f t="shared" si="0"/>
        <v>950</v>
      </c>
      <c r="I34" s="11">
        <f t="shared" si="1"/>
        <v>950</v>
      </c>
      <c r="J34" t="str">
        <f t="shared" si="2"/>
        <v>Electronics</v>
      </c>
    </row>
    <row r="35" spans="1:10" ht="15.75" customHeight="1">
      <c r="A35" s="6" t="s">
        <v>97</v>
      </c>
      <c r="B35" s="6" t="s">
        <v>98</v>
      </c>
      <c r="C35" s="6" t="s">
        <v>99</v>
      </c>
      <c r="D35" s="6">
        <v>100</v>
      </c>
      <c r="E35" s="6">
        <v>20</v>
      </c>
      <c r="F35" s="6" t="s">
        <v>59</v>
      </c>
      <c r="H35" s="10">
        <f t="shared" si="0"/>
        <v>100</v>
      </c>
      <c r="I35" s="11">
        <f t="shared" si="1"/>
        <v>100</v>
      </c>
      <c r="J35" t="str">
        <f t="shared" si="2"/>
        <v>Accessories</v>
      </c>
    </row>
    <row r="36" spans="1:10" ht="15.75" customHeight="1">
      <c r="H36" s="15" t="s">
        <v>100</v>
      </c>
      <c r="I36" s="16" t="s">
        <v>101</v>
      </c>
    </row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abSelected="1" topLeftCell="N1" workbookViewId="0">
      <selection activeCell="R1" sqref="R1:R1048576"/>
    </sheetView>
  </sheetViews>
  <sheetFormatPr defaultColWidth="8.85546875" defaultRowHeight="12" customHeight="1"/>
  <cols>
    <col min="1" max="1" width="11.7109375" style="31" customWidth="1"/>
    <col min="2" max="2" width="14.7109375" customWidth="1"/>
    <col min="3" max="3" width="13.5703125" customWidth="1"/>
    <col min="6" max="6" width="11.85546875" customWidth="1"/>
    <col min="7" max="7" width="18.5703125" style="1" customWidth="1"/>
    <col min="8" max="8" width="12.85546875"/>
    <col min="9" max="9" width="14.7109375" customWidth="1"/>
    <col min="10" max="10" width="25.28515625" customWidth="1"/>
    <col min="11" max="11" width="14.85546875" customWidth="1"/>
    <col min="12" max="12" width="19.28515625" style="42" customWidth="1"/>
    <col min="13" max="13" width="13.42578125" customWidth="1"/>
    <col min="14" max="14" width="23.140625" customWidth="1"/>
    <col min="15" max="15" width="20.5703125" style="35" customWidth="1"/>
    <col min="16" max="16" width="18.28515625" style="41" customWidth="1"/>
    <col min="17" max="17" width="23.7109375" customWidth="1"/>
    <col min="18" max="18" width="24.42578125" customWidth="1"/>
  </cols>
  <sheetData>
    <row r="1" spans="1:18" ht="18" customHeight="1">
      <c r="A1" s="2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7" t="s">
        <v>102</v>
      </c>
      <c r="H1" s="17"/>
      <c r="I1" s="3"/>
      <c r="J1" s="21" t="s">
        <v>103</v>
      </c>
      <c r="K1" s="24" t="s">
        <v>104</v>
      </c>
      <c r="L1" s="43" t="s">
        <v>105</v>
      </c>
      <c r="M1" s="27" t="s">
        <v>106</v>
      </c>
      <c r="N1" s="34" t="s">
        <v>107</v>
      </c>
      <c r="O1" s="36" t="s">
        <v>108</v>
      </c>
      <c r="P1" s="40" t="s">
        <v>105</v>
      </c>
      <c r="Q1" s="44" t="s">
        <v>109</v>
      </c>
      <c r="R1" s="45" t="s">
        <v>5</v>
      </c>
    </row>
    <row r="2" spans="1:18">
      <c r="A2" s="29" t="s">
        <v>9</v>
      </c>
      <c r="B2" s="33" t="s">
        <v>10</v>
      </c>
      <c r="C2" s="33" t="s">
        <v>11</v>
      </c>
      <c r="D2" s="33">
        <v>1000</v>
      </c>
      <c r="E2" s="33">
        <v>30</v>
      </c>
      <c r="F2" s="33" t="s">
        <v>12</v>
      </c>
      <c r="G2" s="32">
        <f>IF(ISBLANK(D2),"unknown",D2)</f>
        <v>1000</v>
      </c>
      <c r="H2" s="4">
        <f>IF(ISBLANK(D2),AVERAGE($D$2:$D$35),D2)</f>
        <v>1000</v>
      </c>
      <c r="I2" s="32" t="str">
        <f>IF(ISBLANK(F2),"unknown",F2)</f>
        <v>Electronics</v>
      </c>
      <c r="J2" t="str">
        <f>PROPER(TRIM(CLEAN(B2)))</f>
        <v>Laptop</v>
      </c>
      <c r="K2" s="20" t="s">
        <v>12</v>
      </c>
      <c r="L2" s="42" t="str">
        <f>LEFT(A2,LEN(A2)-3)</f>
        <v>28-JAN</v>
      </c>
      <c r="M2" t="str">
        <f>RIGHT(A2,2)</f>
        <v>US</v>
      </c>
      <c r="N2" t="str">
        <f>B2&amp;" "&amp;C2</f>
        <v>laptop Dell</v>
      </c>
      <c r="O2" s="37">
        <v>1000</v>
      </c>
      <c r="P2" s="41">
        <v>46050</v>
      </c>
      <c r="Q2" s="5">
        <v>1000</v>
      </c>
      <c r="R2" s="20" t="s">
        <v>12</v>
      </c>
    </row>
    <row r="3" spans="1:18">
      <c r="A3" s="30" t="s">
        <v>13</v>
      </c>
      <c r="B3" s="6" t="s">
        <v>14</v>
      </c>
      <c r="C3" s="6" t="s">
        <v>15</v>
      </c>
      <c r="D3" s="6">
        <v>80</v>
      </c>
      <c r="E3" s="6">
        <v>15</v>
      </c>
      <c r="F3" s="6" t="s">
        <v>16</v>
      </c>
      <c r="G3" s="32">
        <f t="shared" ref="G3:G35" si="0">IF(ISBLANK(D3),"unknown",D3)</f>
        <v>80</v>
      </c>
      <c r="H3" s="4">
        <f>IF(ISBLANK(D3),AVERAGE($D$2:$D$35),D3)</f>
        <v>80</v>
      </c>
      <c r="I3" s="32" t="str">
        <f>IF(ISBLANK(F3),"unknown",F3)</f>
        <v>Fashion</v>
      </c>
      <c r="J3" t="str">
        <f>PROPER(TRIM(CLEAN(B3)))</f>
        <v>Sneakers</v>
      </c>
      <c r="K3" s="19" t="s">
        <v>16</v>
      </c>
      <c r="L3" s="42" t="str">
        <f t="shared" ref="L3:L35" si="1">LEFT(A3,LEN(A3)-3)</f>
        <v>15-FEB</v>
      </c>
      <c r="M3" t="str">
        <f t="shared" ref="M3:M35" si="2">RIGHT(A3,2)</f>
        <v>US</v>
      </c>
      <c r="N3" t="str">
        <f t="shared" ref="N3:N35" si="3">B3&amp;" "&amp;C3</f>
        <v>Sneakers Nike</v>
      </c>
      <c r="O3" s="38">
        <v>80</v>
      </c>
      <c r="P3" s="41">
        <v>46051</v>
      </c>
      <c r="Q3" s="7">
        <v>80</v>
      </c>
      <c r="R3" s="19" t="s">
        <v>16</v>
      </c>
    </row>
    <row r="4" spans="1:18">
      <c r="A4" s="29" t="s">
        <v>17</v>
      </c>
      <c r="B4" s="33" t="s">
        <v>18</v>
      </c>
      <c r="C4" s="33" t="s">
        <v>19</v>
      </c>
      <c r="D4" s="33">
        <v>130</v>
      </c>
      <c r="E4" s="33">
        <v>40</v>
      </c>
      <c r="F4" s="33" t="s">
        <v>20</v>
      </c>
      <c r="G4" s="32">
        <f t="shared" si="0"/>
        <v>130</v>
      </c>
      <c r="H4" s="4">
        <f>IF(ISBLANK(D4),AVERAGE($D$2:$D$35),D4)</f>
        <v>130</v>
      </c>
      <c r="I4" s="32" t="str">
        <f>IF(ISBLANK(F4),"unknown",F4)</f>
        <v>Kitchen</v>
      </c>
      <c r="J4" t="str">
        <f>PROPER(TRIM(CLEAN(B4)))</f>
        <v>Coffee Maker</v>
      </c>
      <c r="K4" s="20" t="s">
        <v>20</v>
      </c>
      <c r="L4" s="42" t="str">
        <f t="shared" si="1"/>
        <v>03-MAR</v>
      </c>
      <c r="M4" t="str">
        <f t="shared" si="2"/>
        <v>US</v>
      </c>
      <c r="N4" t="str">
        <f t="shared" si="3"/>
        <v>Coffee Maker Keurig</v>
      </c>
      <c r="O4" s="37">
        <v>130</v>
      </c>
      <c r="P4" s="41">
        <v>46052</v>
      </c>
      <c r="Q4" s="5">
        <v>130</v>
      </c>
      <c r="R4" s="20" t="s">
        <v>20</v>
      </c>
    </row>
    <row r="5" spans="1:18">
      <c r="A5" s="30" t="s">
        <v>21</v>
      </c>
      <c r="B5" s="6" t="s">
        <v>22</v>
      </c>
      <c r="C5" s="6" t="s">
        <v>23</v>
      </c>
      <c r="D5" s="6">
        <v>900</v>
      </c>
      <c r="E5" s="6">
        <v>25</v>
      </c>
      <c r="F5" s="6" t="s">
        <v>12</v>
      </c>
      <c r="G5" s="32">
        <f t="shared" si="0"/>
        <v>900</v>
      </c>
      <c r="H5" s="4">
        <f>IF(ISBLANK(D5),AVERAGE($D$2:$D$35),D5)</f>
        <v>900</v>
      </c>
      <c r="I5" s="32" t="str">
        <f>IF(ISBLANK(F5),"unknown",F5)</f>
        <v>Electronics</v>
      </c>
      <c r="J5" t="str">
        <f>PROPER(TRIM(CLEAN(B5)))</f>
        <v>Smartphone</v>
      </c>
      <c r="K5" s="19" t="s">
        <v>12</v>
      </c>
      <c r="L5" s="42" t="str">
        <f t="shared" si="1"/>
        <v>11-APR</v>
      </c>
      <c r="M5" t="str">
        <f t="shared" si="2"/>
        <v>US</v>
      </c>
      <c r="N5" t="str">
        <f t="shared" si="3"/>
        <v>smartphone Samsung</v>
      </c>
      <c r="O5" s="38">
        <v>900</v>
      </c>
      <c r="P5" s="41">
        <v>46053</v>
      </c>
      <c r="Q5" s="7">
        <v>900</v>
      </c>
      <c r="R5" s="19" t="s">
        <v>12</v>
      </c>
    </row>
    <row r="6" spans="1:18">
      <c r="A6" s="29" t="s">
        <v>24</v>
      </c>
      <c r="B6" s="33" t="s">
        <v>25</v>
      </c>
      <c r="C6" s="33" t="s">
        <v>26</v>
      </c>
      <c r="D6" s="33">
        <v>70</v>
      </c>
      <c r="E6" s="33">
        <v>20</v>
      </c>
      <c r="F6" s="33"/>
      <c r="G6" s="32">
        <f t="shared" si="0"/>
        <v>70</v>
      </c>
      <c r="H6" s="4">
        <f>IF(ISBLANK(D6),AVERAGE($D$2:$D$35),D6)</f>
        <v>70</v>
      </c>
      <c r="I6" s="19" t="s">
        <v>59</v>
      </c>
      <c r="J6" t="str">
        <f>PROPER(TRIM(CLEAN(B6)))</f>
        <v>Backpack</v>
      </c>
      <c r="K6" s="19" t="s">
        <v>59</v>
      </c>
      <c r="L6" s="42" t="str">
        <f t="shared" si="1"/>
        <v>22-MAY</v>
      </c>
      <c r="M6" t="str">
        <f t="shared" si="2"/>
        <v>US</v>
      </c>
      <c r="N6" t="str">
        <f t="shared" si="3"/>
        <v>Backpack North Face</v>
      </c>
      <c r="O6" s="37">
        <v>70</v>
      </c>
      <c r="P6" s="41">
        <v>46054</v>
      </c>
      <c r="Q6" s="5">
        <v>70</v>
      </c>
      <c r="R6" s="20"/>
    </row>
    <row r="7" spans="1:18">
      <c r="A7" s="30" t="s">
        <v>27</v>
      </c>
      <c r="B7" s="6" t="s">
        <v>28</v>
      </c>
      <c r="C7" s="6" t="s">
        <v>29</v>
      </c>
      <c r="D7" s="6"/>
      <c r="E7" s="6">
        <v>45</v>
      </c>
      <c r="F7" s="6" t="s">
        <v>30</v>
      </c>
      <c r="G7" s="32" t="str">
        <f t="shared" si="0"/>
        <v>unknown</v>
      </c>
      <c r="H7" s="8">
        <f>IF(ISBLANK(D7),AVERAGE($D$2:$D$35),D7)</f>
        <v>309.35483870967744</v>
      </c>
      <c r="I7" s="32" t="str">
        <f>IF(ISBLANK(F7),"unknown",F7)</f>
        <v>Electroni</v>
      </c>
      <c r="J7" t="str">
        <f>PROPER(TRIM(CLEAN(B7)))</f>
        <v>Headphones</v>
      </c>
      <c r="K7" s="25" t="s">
        <v>110</v>
      </c>
      <c r="L7" s="42" t="str">
        <f t="shared" si="1"/>
        <v>07-JUN</v>
      </c>
      <c r="M7" t="str">
        <f t="shared" si="2"/>
        <v>UK</v>
      </c>
      <c r="N7" t="str">
        <f t="shared" si="3"/>
        <v>Headphones Sony</v>
      </c>
      <c r="O7" s="38">
        <v>309</v>
      </c>
      <c r="P7" s="41">
        <v>46055</v>
      </c>
      <c r="Q7" s="7"/>
      <c r="R7" s="19" t="s">
        <v>30</v>
      </c>
    </row>
    <row r="8" spans="1:18">
      <c r="A8" s="29" t="s">
        <v>31</v>
      </c>
      <c r="B8" s="33" t="s">
        <v>32</v>
      </c>
      <c r="C8" s="33" t="s">
        <v>33</v>
      </c>
      <c r="D8" s="33">
        <v>30</v>
      </c>
      <c r="E8" s="33">
        <v>5</v>
      </c>
      <c r="F8" s="33" t="s">
        <v>16</v>
      </c>
      <c r="G8" s="32">
        <f t="shared" si="0"/>
        <v>30</v>
      </c>
      <c r="H8" s="4">
        <f>IF(ISBLANK(D8),AVERAGE($D$2:$D$35),D8)</f>
        <v>30</v>
      </c>
      <c r="I8" s="32" t="str">
        <f>IF(ISBLANK(F8),"unknown",F8)</f>
        <v>Fashion</v>
      </c>
      <c r="J8" t="str">
        <f>PROPER(TRIM(CLEAN(B8)))</f>
        <v>T-Shirt</v>
      </c>
      <c r="K8" s="20" t="s">
        <v>16</v>
      </c>
      <c r="L8" s="42" t="str">
        <f t="shared" si="1"/>
        <v>19-JUL</v>
      </c>
      <c r="M8" t="str">
        <f t="shared" si="2"/>
        <v>UK</v>
      </c>
      <c r="N8" t="str">
        <f t="shared" si="3"/>
        <v>T-shirt Adidas</v>
      </c>
      <c r="O8" s="37">
        <v>30</v>
      </c>
      <c r="P8" s="41">
        <v>46056</v>
      </c>
      <c r="Q8" s="5">
        <v>30</v>
      </c>
      <c r="R8" s="20" t="s">
        <v>16</v>
      </c>
    </row>
    <row r="9" spans="1:18">
      <c r="A9" s="30" t="s">
        <v>34</v>
      </c>
      <c r="B9" s="6" t="s">
        <v>35</v>
      </c>
      <c r="C9" s="6" t="s">
        <v>36</v>
      </c>
      <c r="D9" s="6">
        <v>90</v>
      </c>
      <c r="E9" s="6">
        <v>35</v>
      </c>
      <c r="F9" s="6" t="s">
        <v>20</v>
      </c>
      <c r="G9" s="32">
        <f t="shared" si="0"/>
        <v>90</v>
      </c>
      <c r="H9" s="4">
        <f>IF(ISBLANK(D9),AVERAGE($D$2:$D$35),D9)</f>
        <v>90</v>
      </c>
      <c r="I9" s="32" t="str">
        <f>IF(ISBLANK(F9),"unknown",F9)</f>
        <v>Kitchen</v>
      </c>
      <c r="J9" t="str">
        <f>PROPER(TRIM(CLEAN(B9)))</f>
        <v>Blender</v>
      </c>
      <c r="K9" s="19" t="s">
        <v>20</v>
      </c>
      <c r="L9" s="42" t="str">
        <f t="shared" si="1"/>
        <v>23-AUG</v>
      </c>
      <c r="M9" t="str">
        <f t="shared" si="2"/>
        <v>UK</v>
      </c>
      <c r="N9" t="str">
        <f t="shared" si="3"/>
        <v>Blender Ninja</v>
      </c>
      <c r="O9" s="38">
        <v>90</v>
      </c>
      <c r="P9" s="41">
        <v>46057</v>
      </c>
      <c r="Q9" s="7">
        <v>90</v>
      </c>
      <c r="R9" s="19" t="s">
        <v>20</v>
      </c>
    </row>
    <row r="10" spans="1:18">
      <c r="A10" s="29" t="s">
        <v>37</v>
      </c>
      <c r="B10" s="33" t="s">
        <v>38</v>
      </c>
      <c r="C10" s="33" t="s">
        <v>39</v>
      </c>
      <c r="D10" s="33">
        <v>500</v>
      </c>
      <c r="E10" s="33">
        <v>50</v>
      </c>
      <c r="F10" s="33" t="s">
        <v>12</v>
      </c>
      <c r="G10" s="32">
        <f t="shared" si="0"/>
        <v>500</v>
      </c>
      <c r="H10" s="4">
        <f>IF(ISBLANK(D10),AVERAGE($D$2:$D$35),D10)</f>
        <v>500</v>
      </c>
      <c r="I10" s="32" t="str">
        <f>IF(ISBLANK(F10),"unknown",F10)</f>
        <v>Electronics</v>
      </c>
      <c r="J10" t="str">
        <f>PROPER(TRIM(CLEAN(B10)))</f>
        <v>Tablet</v>
      </c>
      <c r="K10" s="20" t="s">
        <v>12</v>
      </c>
      <c r="L10" s="42" t="str">
        <f t="shared" si="1"/>
        <v>05-SEP</v>
      </c>
      <c r="M10" t="str">
        <f t="shared" si="2"/>
        <v>UK</v>
      </c>
      <c r="N10" t="str">
        <f t="shared" si="3"/>
        <v>Tablet Apple</v>
      </c>
      <c r="O10" s="37">
        <v>500</v>
      </c>
      <c r="P10" s="41">
        <v>46058</v>
      </c>
      <c r="Q10" s="5">
        <v>500</v>
      </c>
      <c r="R10" s="20" t="s">
        <v>12</v>
      </c>
    </row>
    <row r="11" spans="1:18">
      <c r="A11" s="30" t="s">
        <v>40</v>
      </c>
      <c r="B11" s="6" t="s">
        <v>41</v>
      </c>
      <c r="C11" s="6" t="s">
        <v>42</v>
      </c>
      <c r="D11" s="6">
        <v>130</v>
      </c>
      <c r="E11" s="6">
        <v>10</v>
      </c>
      <c r="F11" s="6" t="s">
        <v>43</v>
      </c>
      <c r="G11" s="32">
        <f t="shared" si="0"/>
        <v>130</v>
      </c>
      <c r="H11" s="4">
        <f>IF(ISBLANK(D11),AVERAGE($D$2:$D$35),D11)</f>
        <v>130</v>
      </c>
      <c r="I11" s="32" t="str">
        <f>IF(ISBLANK(F11),"unknown",F11)</f>
        <v>Outdoor</v>
      </c>
      <c r="J11" t="str">
        <f>PROPER(TRIM(CLEAN(B11)))</f>
        <v>Hiking Boots</v>
      </c>
      <c r="K11" s="19" t="s">
        <v>43</v>
      </c>
      <c r="L11" s="42" t="str">
        <f t="shared" si="1"/>
        <v>14-OCT</v>
      </c>
      <c r="M11" t="str">
        <f t="shared" si="2"/>
        <v>UK</v>
      </c>
      <c r="N11" t="str">
        <f t="shared" si="3"/>
        <v>Hiking Boots Timberland</v>
      </c>
      <c r="O11" s="38">
        <v>130</v>
      </c>
      <c r="P11" s="41">
        <v>46059</v>
      </c>
      <c r="Q11" s="7">
        <v>130</v>
      </c>
      <c r="R11" s="19" t="s">
        <v>43</v>
      </c>
    </row>
    <row r="12" spans="1:18">
      <c r="A12" s="29" t="s">
        <v>44</v>
      </c>
      <c r="B12" s="33" t="s">
        <v>45</v>
      </c>
      <c r="C12" s="33" t="s">
        <v>46</v>
      </c>
      <c r="D12" s="33">
        <v>950</v>
      </c>
      <c r="E12" s="33">
        <v>25</v>
      </c>
      <c r="F12" s="33" t="s">
        <v>12</v>
      </c>
      <c r="G12" s="32">
        <f t="shared" si="0"/>
        <v>950</v>
      </c>
      <c r="H12" s="4">
        <f>IF(ISBLANK(D12),AVERAGE($D$2:$D$35),D12)</f>
        <v>950</v>
      </c>
      <c r="I12" s="32" t="str">
        <f>IF(ISBLANK(F12),"unknown",F12)</f>
        <v>Electronics</v>
      </c>
      <c r="J12" t="str">
        <f>PROPER(TRIM(CLEAN(B12)))</f>
        <v>Laptop</v>
      </c>
      <c r="K12" s="20" t="s">
        <v>12</v>
      </c>
      <c r="L12" s="42" t="str">
        <f t="shared" si="1"/>
        <v>17-JUN</v>
      </c>
      <c r="M12" t="str">
        <f t="shared" si="2"/>
        <v>IN</v>
      </c>
      <c r="N12" t="str">
        <f t="shared" si="3"/>
        <v>Laptop HP</v>
      </c>
      <c r="O12" s="37">
        <v>950</v>
      </c>
      <c r="P12" s="41">
        <v>46060</v>
      </c>
      <c r="Q12" s="5">
        <v>950</v>
      </c>
      <c r="R12" s="20" t="s">
        <v>12</v>
      </c>
    </row>
    <row r="13" spans="1:18">
      <c r="A13" s="30" t="s">
        <v>47</v>
      </c>
      <c r="B13" s="6" t="s">
        <v>14</v>
      </c>
      <c r="C13" s="6" t="s">
        <v>33</v>
      </c>
      <c r="D13" s="6">
        <v>90</v>
      </c>
      <c r="E13" s="6">
        <v>40</v>
      </c>
      <c r="F13" s="6"/>
      <c r="G13" s="32">
        <f t="shared" si="0"/>
        <v>90</v>
      </c>
      <c r="H13" s="4">
        <f>IF(ISBLANK(D13),AVERAGE($D$2:$D$35),D13)</f>
        <v>90</v>
      </c>
      <c r="I13" s="19" t="s">
        <v>16</v>
      </c>
      <c r="J13" t="str">
        <f>PROPER(TRIM(CLEAN(B13)))</f>
        <v>Sneakers</v>
      </c>
      <c r="K13" s="19" t="s">
        <v>16</v>
      </c>
      <c r="L13" s="42" t="str">
        <f t="shared" si="1"/>
        <v>25-NOV</v>
      </c>
      <c r="M13" t="str">
        <f t="shared" si="2"/>
        <v>AU</v>
      </c>
      <c r="N13" t="str">
        <f t="shared" si="3"/>
        <v>Sneakers Adidas</v>
      </c>
      <c r="O13" s="38">
        <v>90</v>
      </c>
      <c r="P13" s="41">
        <v>46061</v>
      </c>
      <c r="Q13" s="7">
        <v>90</v>
      </c>
      <c r="R13" s="19"/>
    </row>
    <row r="14" spans="1:18">
      <c r="A14" s="29" t="s">
        <v>48</v>
      </c>
      <c r="B14" s="33" t="s">
        <v>18</v>
      </c>
      <c r="C14" s="33" t="s">
        <v>49</v>
      </c>
      <c r="D14" s="33">
        <v>120</v>
      </c>
      <c r="E14" s="33">
        <v>35</v>
      </c>
      <c r="F14" s="33"/>
      <c r="G14" s="32">
        <f t="shared" si="0"/>
        <v>120</v>
      </c>
      <c r="H14" s="4">
        <f>IF(ISBLANK(D14),AVERAGE($D$2:$D$35),D14)</f>
        <v>120</v>
      </c>
      <c r="I14" s="19" t="s">
        <v>20</v>
      </c>
      <c r="J14" t="str">
        <f>PROPER(TRIM(CLEAN(B14)))</f>
        <v>Coffee Maker</v>
      </c>
      <c r="K14" s="19" t="s">
        <v>20</v>
      </c>
      <c r="L14" s="42" t="str">
        <f t="shared" si="1"/>
        <v>08-DEC</v>
      </c>
      <c r="M14" t="str">
        <f t="shared" si="2"/>
        <v>DE</v>
      </c>
      <c r="N14" t="str">
        <f t="shared" si="3"/>
        <v>Coffee Maker Nespresso</v>
      </c>
      <c r="O14" s="37">
        <v>120</v>
      </c>
      <c r="P14" s="41">
        <v>46062</v>
      </c>
      <c r="Q14" s="5">
        <v>120</v>
      </c>
      <c r="R14" s="20"/>
    </row>
    <row r="15" spans="1:18">
      <c r="A15" s="30" t="s">
        <v>50</v>
      </c>
      <c r="B15" s="6" t="s">
        <v>51</v>
      </c>
      <c r="C15" s="6" t="s">
        <v>52</v>
      </c>
      <c r="D15" s="6">
        <v>150</v>
      </c>
      <c r="E15" s="6">
        <v>15</v>
      </c>
      <c r="F15" s="6" t="s">
        <v>30</v>
      </c>
      <c r="G15" s="32">
        <f t="shared" si="0"/>
        <v>150</v>
      </c>
      <c r="H15" s="4">
        <f>IF(ISBLANK(D15),AVERAGE($D$2:$D$35),D15)</f>
        <v>150</v>
      </c>
      <c r="I15" s="23" t="str">
        <f>IF(ISBLANK(F15),"unknown",F15)</f>
        <v>Electroni</v>
      </c>
      <c r="J15" t="str">
        <f>PROPER(TRIM(CLEAN(B15)))</f>
        <v>Smartwatch</v>
      </c>
      <c r="K15" s="25" t="s">
        <v>110</v>
      </c>
      <c r="L15" s="42" t="str">
        <f t="shared" si="1"/>
        <v>18-FEB</v>
      </c>
      <c r="M15" t="str">
        <f t="shared" si="2"/>
        <v>CA</v>
      </c>
      <c r="N15" t="str">
        <f t="shared" si="3"/>
        <v>Smartwatch Fitbit</v>
      </c>
      <c r="O15" s="38">
        <v>150</v>
      </c>
      <c r="P15" s="41">
        <v>46063</v>
      </c>
      <c r="Q15" s="7">
        <v>150</v>
      </c>
      <c r="R15" s="19" t="s">
        <v>30</v>
      </c>
    </row>
    <row r="16" spans="1:18">
      <c r="A16" s="29" t="s">
        <v>53</v>
      </c>
      <c r="B16" s="33" t="s">
        <v>54</v>
      </c>
      <c r="C16" s="33" t="s">
        <v>55</v>
      </c>
      <c r="D16" s="33">
        <v>250</v>
      </c>
      <c r="E16" s="33">
        <v>20</v>
      </c>
      <c r="F16" s="33" t="s">
        <v>30</v>
      </c>
      <c r="G16" s="32">
        <f t="shared" si="0"/>
        <v>250</v>
      </c>
      <c r="H16" s="4">
        <f>IF(ISBLANK(D16),AVERAGE($D$2:$D$35),D16)</f>
        <v>250</v>
      </c>
      <c r="I16" s="32" t="str">
        <f>IF(ISBLANK(F16),"unknown",F16)</f>
        <v>Electroni</v>
      </c>
      <c r="J16" t="str">
        <f>PROPER(TRIM(CLEAN(B16)))</f>
        <v>Headphones</v>
      </c>
      <c r="K16" s="26" t="s">
        <v>110</v>
      </c>
      <c r="L16" s="42" t="str">
        <f>LEFT(A16,LEN(A16)-3)</f>
        <v>16-APR</v>
      </c>
      <c r="M16" t="str">
        <f t="shared" si="2"/>
        <v>ES</v>
      </c>
      <c r="N16" t="str">
        <f t="shared" si="3"/>
        <v>headphones Bose</v>
      </c>
      <c r="O16" s="37">
        <v>250</v>
      </c>
      <c r="P16" s="41">
        <v>46064</v>
      </c>
      <c r="Q16" s="5">
        <v>250</v>
      </c>
      <c r="R16" s="20" t="s">
        <v>30</v>
      </c>
    </row>
    <row r="17" spans="1:18">
      <c r="A17" s="30" t="s">
        <v>56</v>
      </c>
      <c r="B17" s="6" t="s">
        <v>57</v>
      </c>
      <c r="C17" s="6" t="s">
        <v>58</v>
      </c>
      <c r="D17" s="6">
        <v>50</v>
      </c>
      <c r="E17" s="6">
        <v>35</v>
      </c>
      <c r="F17" s="6" t="s">
        <v>59</v>
      </c>
      <c r="G17" s="32">
        <f t="shared" si="0"/>
        <v>50</v>
      </c>
      <c r="H17" s="4">
        <f>IF(ISBLANK(D17),AVERAGE($D$2:$D$35),D17)</f>
        <v>50</v>
      </c>
      <c r="I17" s="23" t="str">
        <f>IF(ISBLANK(F17),"unknown",F17)</f>
        <v>Accessories</v>
      </c>
      <c r="J17" t="str">
        <f>PROPER(TRIM(CLEAN(B17)))</f>
        <v>Laptop Bag</v>
      </c>
      <c r="K17" s="19" t="s">
        <v>59</v>
      </c>
      <c r="L17" s="42" t="str">
        <f t="shared" si="1"/>
        <v>21-AUG</v>
      </c>
      <c r="M17" t="str">
        <f t="shared" si="2"/>
        <v>CA</v>
      </c>
      <c r="N17" t="str">
        <f t="shared" si="3"/>
        <v>Laptop Bag Samsonite</v>
      </c>
      <c r="O17" s="38">
        <v>50</v>
      </c>
      <c r="P17" s="41">
        <v>46065</v>
      </c>
      <c r="Q17" s="7">
        <v>50</v>
      </c>
      <c r="R17" s="19" t="s">
        <v>59</v>
      </c>
    </row>
    <row r="18" spans="1:18">
      <c r="A18" s="29" t="s">
        <v>60</v>
      </c>
      <c r="B18" s="33" t="s">
        <v>51</v>
      </c>
      <c r="C18" s="33" t="s">
        <v>61</v>
      </c>
      <c r="D18" s="33">
        <v>160</v>
      </c>
      <c r="E18" s="33">
        <v>15</v>
      </c>
      <c r="F18" s="33" t="s">
        <v>30</v>
      </c>
      <c r="G18" s="32">
        <f t="shared" si="0"/>
        <v>160</v>
      </c>
      <c r="H18" s="4">
        <f>IF(ISBLANK(D18),AVERAGE($D$2:$D$35),D18)</f>
        <v>160</v>
      </c>
      <c r="I18" s="32" t="str">
        <f>IF(ISBLANK(F18),"unknown",F18)</f>
        <v>Electroni</v>
      </c>
      <c r="J18" t="str">
        <f>PROPER(TRIM(CLEAN(B18)))</f>
        <v>Smartwatch</v>
      </c>
      <c r="K18" s="26" t="s">
        <v>110</v>
      </c>
      <c r="L18" s="42" t="str">
        <f t="shared" si="1"/>
        <v>20-AUG</v>
      </c>
      <c r="M18" t="str">
        <f t="shared" si="2"/>
        <v>CN</v>
      </c>
      <c r="N18" t="str">
        <f t="shared" si="3"/>
        <v>Smartwatch Huawei</v>
      </c>
      <c r="O18" s="37">
        <v>160</v>
      </c>
      <c r="P18" s="41">
        <v>46066</v>
      </c>
      <c r="Q18" s="5">
        <v>160</v>
      </c>
      <c r="R18" s="20" t="s">
        <v>30</v>
      </c>
    </row>
    <row r="19" spans="1:18">
      <c r="A19" s="30" t="s">
        <v>62</v>
      </c>
      <c r="B19" s="6" t="s">
        <v>10</v>
      </c>
      <c r="C19" s="6" t="s">
        <v>63</v>
      </c>
      <c r="D19" s="6">
        <v>980</v>
      </c>
      <c r="E19" s="6">
        <v>10</v>
      </c>
      <c r="F19" s="6" t="s">
        <v>12</v>
      </c>
      <c r="G19" s="32">
        <f t="shared" si="0"/>
        <v>980</v>
      </c>
      <c r="H19" s="4">
        <f>IF(ISBLANK(D19),AVERAGE($D$2:$D$35),D19)</f>
        <v>980</v>
      </c>
      <c r="I19" s="32" t="str">
        <f>IF(ISBLANK(F19),"unknown",F19)</f>
        <v>Electronics</v>
      </c>
      <c r="J19" t="str">
        <f>PROPER(TRIM(CLEAN(B19)))</f>
        <v>Laptop</v>
      </c>
      <c r="K19" s="19" t="s">
        <v>12</v>
      </c>
      <c r="L19" s="42" t="str">
        <f t="shared" si="1"/>
        <v>27-JAN</v>
      </c>
      <c r="M19" t="str">
        <f t="shared" si="2"/>
        <v>IT</v>
      </c>
      <c r="N19" t="str">
        <f t="shared" si="3"/>
        <v>laptop Asus</v>
      </c>
      <c r="O19" s="38">
        <v>980</v>
      </c>
      <c r="P19" s="41">
        <v>46067</v>
      </c>
      <c r="Q19" s="7">
        <v>980</v>
      </c>
      <c r="R19" s="19" t="s">
        <v>12</v>
      </c>
    </row>
    <row r="20" spans="1:18">
      <c r="A20" s="29" t="s">
        <v>64</v>
      </c>
      <c r="B20" s="33" t="s">
        <v>65</v>
      </c>
      <c r="C20" s="33" t="s">
        <v>66</v>
      </c>
      <c r="D20" s="33">
        <v>150</v>
      </c>
      <c r="E20" s="33">
        <v>15</v>
      </c>
      <c r="F20" s="33" t="s">
        <v>16</v>
      </c>
      <c r="G20" s="32">
        <f t="shared" si="0"/>
        <v>150</v>
      </c>
      <c r="H20" s="4">
        <f>IF(ISBLANK(D20),AVERAGE($D$2:$D$35),D20)</f>
        <v>150</v>
      </c>
      <c r="I20" s="32" t="str">
        <f>IF(ISBLANK(F20),"unknown",F20)</f>
        <v>Fashion</v>
      </c>
      <c r="J20" t="str">
        <f>PROPER(TRIM(CLEAN(B20)))</f>
        <v>Sunglasses</v>
      </c>
      <c r="K20" s="20" t="s">
        <v>16</v>
      </c>
      <c r="L20" s="42" t="str">
        <f t="shared" si="1"/>
        <v>01-MAR</v>
      </c>
      <c r="M20" t="str">
        <f t="shared" si="2"/>
        <v>UK</v>
      </c>
      <c r="N20" t="str">
        <f t="shared" si="3"/>
        <v>Sunglasses Oakley</v>
      </c>
      <c r="O20" s="37">
        <v>150</v>
      </c>
      <c r="P20" s="41">
        <v>46068</v>
      </c>
      <c r="Q20" s="5">
        <v>150</v>
      </c>
      <c r="R20" s="20" t="s">
        <v>16</v>
      </c>
    </row>
    <row r="21" spans="1:18">
      <c r="A21" s="30" t="s">
        <v>67</v>
      </c>
      <c r="B21" s="6" t="s">
        <v>68</v>
      </c>
      <c r="C21" s="6" t="s">
        <v>69</v>
      </c>
      <c r="D21" s="6"/>
      <c r="E21" s="6">
        <v>10</v>
      </c>
      <c r="F21" s="6" t="s">
        <v>43</v>
      </c>
      <c r="G21" s="32" t="str">
        <f t="shared" si="0"/>
        <v>unknown</v>
      </c>
      <c r="H21" s="8">
        <f>IF(ISBLANK(D21),AVERAGE($D$2:$D$35),D21)</f>
        <v>309.35483870967744</v>
      </c>
      <c r="I21" s="32" t="str">
        <f>IF(ISBLANK(F21),"unknown",F21)</f>
        <v>Outdoor</v>
      </c>
      <c r="J21" t="str">
        <f>PROPER(TRIM(CLEAN(B21)))</f>
        <v>Camping Tent</v>
      </c>
      <c r="K21" s="19" t="s">
        <v>43</v>
      </c>
      <c r="L21" s="42" t="str">
        <f t="shared" si="1"/>
        <v>14-AUG</v>
      </c>
      <c r="M21" t="str">
        <f t="shared" si="2"/>
        <v>US</v>
      </c>
      <c r="N21" t="str">
        <f t="shared" si="3"/>
        <v>Camping Tent Coleman</v>
      </c>
      <c r="O21" s="38">
        <v>309</v>
      </c>
      <c r="P21" s="41">
        <v>46069</v>
      </c>
      <c r="Q21" s="7"/>
      <c r="R21" s="19" t="s">
        <v>43</v>
      </c>
    </row>
    <row r="22" spans="1:18">
      <c r="A22" s="29" t="s">
        <v>70</v>
      </c>
      <c r="B22" s="33" t="s">
        <v>71</v>
      </c>
      <c r="C22" s="33" t="s">
        <v>72</v>
      </c>
      <c r="D22" s="33">
        <v>700</v>
      </c>
      <c r="E22" s="33">
        <v>50</v>
      </c>
      <c r="F22" s="33" t="s">
        <v>12</v>
      </c>
      <c r="G22" s="32">
        <f t="shared" si="0"/>
        <v>700</v>
      </c>
      <c r="H22" s="4">
        <f>IF(ISBLANK(D22),AVERAGE($D$2:$D$35),D22)</f>
        <v>700</v>
      </c>
      <c r="I22" s="32" t="str">
        <f>IF(ISBLANK(F22),"unknown",F22)</f>
        <v>Electronics</v>
      </c>
      <c r="J22" t="str">
        <f>PROPER(TRIM(CLEAN(B22)))</f>
        <v>Camera</v>
      </c>
      <c r="K22" s="20" t="s">
        <v>12</v>
      </c>
      <c r="L22" s="42" t="str">
        <f t="shared" si="1"/>
        <v>14-MAY</v>
      </c>
      <c r="M22" t="str">
        <f t="shared" si="2"/>
        <v>RU</v>
      </c>
      <c r="N22" t="str">
        <f t="shared" si="3"/>
        <v>Camera Nikon</v>
      </c>
      <c r="O22" s="37">
        <v>700</v>
      </c>
      <c r="P22" s="41">
        <v>46070</v>
      </c>
      <c r="Q22" s="5">
        <v>700</v>
      </c>
      <c r="R22" s="20" t="s">
        <v>12</v>
      </c>
    </row>
    <row r="23" spans="1:18">
      <c r="A23" s="30" t="s">
        <v>73</v>
      </c>
      <c r="B23" s="6" t="s">
        <v>74</v>
      </c>
      <c r="C23" s="6" t="s">
        <v>75</v>
      </c>
      <c r="D23" s="6">
        <v>80</v>
      </c>
      <c r="E23" s="6">
        <v>20</v>
      </c>
      <c r="F23" s="6" t="s">
        <v>20</v>
      </c>
      <c r="G23" s="32">
        <f t="shared" si="0"/>
        <v>80</v>
      </c>
      <c r="H23" s="4">
        <f>IF(ISBLANK(D23),AVERAGE($D$2:$D$35),D23)</f>
        <v>80</v>
      </c>
      <c r="I23" s="32" t="str">
        <f>IF(ISBLANK(F23),"unknown",F23)</f>
        <v>Kitchen</v>
      </c>
      <c r="J23" t="str">
        <f>PROPER(TRIM(CLEAN(B23)))</f>
        <v>Microwave</v>
      </c>
      <c r="K23" s="19" t="s">
        <v>20</v>
      </c>
      <c r="L23" s="42" t="str">
        <f t="shared" si="1"/>
        <v>09-JAN</v>
      </c>
      <c r="M23" t="str">
        <f t="shared" si="2"/>
        <v>CA</v>
      </c>
      <c r="N23" t="str">
        <f t="shared" si="3"/>
        <v>Microwave Panasonic</v>
      </c>
      <c r="O23" s="38">
        <v>80</v>
      </c>
      <c r="P23" s="41">
        <v>46071</v>
      </c>
      <c r="Q23" s="7">
        <v>80</v>
      </c>
      <c r="R23" s="19" t="s">
        <v>20</v>
      </c>
    </row>
    <row r="24" spans="1:18">
      <c r="A24" s="29" t="s">
        <v>76</v>
      </c>
      <c r="B24" s="33" t="s">
        <v>77</v>
      </c>
      <c r="C24" s="33" t="s">
        <v>78</v>
      </c>
      <c r="D24" s="33">
        <v>150</v>
      </c>
      <c r="E24" s="33">
        <v>30</v>
      </c>
      <c r="F24" s="33"/>
      <c r="G24" s="32">
        <f t="shared" si="0"/>
        <v>150</v>
      </c>
      <c r="H24" s="4">
        <f>IF(ISBLANK(D24),AVERAGE($D$2:$D$35),D24)</f>
        <v>150</v>
      </c>
      <c r="I24" s="20" t="s">
        <v>12</v>
      </c>
      <c r="J24" t="str">
        <f>PROPER(TRIM(CLEAN(B24)))</f>
        <v>Fitness Tracker</v>
      </c>
      <c r="K24" s="20" t="s">
        <v>12</v>
      </c>
      <c r="L24" s="42" t="str">
        <f t="shared" si="1"/>
        <v>19-JUL</v>
      </c>
      <c r="M24" t="str">
        <f t="shared" si="2"/>
        <v>BR</v>
      </c>
      <c r="N24" t="str">
        <f t="shared" si="3"/>
        <v>Fitness Tracker Xiaomi</v>
      </c>
      <c r="O24" s="37">
        <v>150</v>
      </c>
      <c r="P24" s="41">
        <v>46072</v>
      </c>
      <c r="Q24" s="5">
        <v>150</v>
      </c>
      <c r="R24" s="20"/>
    </row>
    <row r="25" spans="1:18">
      <c r="A25" s="30" t="s">
        <v>56</v>
      </c>
      <c r="B25" s="6" t="s">
        <v>57</v>
      </c>
      <c r="C25" s="6" t="s">
        <v>58</v>
      </c>
      <c r="D25" s="6">
        <v>50</v>
      </c>
      <c r="E25" s="6">
        <v>35</v>
      </c>
      <c r="F25" s="6" t="s">
        <v>59</v>
      </c>
      <c r="G25" s="32">
        <f t="shared" si="0"/>
        <v>50</v>
      </c>
      <c r="H25" s="4">
        <f>IF(ISBLANK(D25),AVERAGE($D$2:$D$35),D25)</f>
        <v>50</v>
      </c>
      <c r="I25" s="32" t="str">
        <f>IF(ISBLANK(F25),"unknown",F25)</f>
        <v>Accessories</v>
      </c>
      <c r="J25" t="str">
        <f>PROPER(TRIM(CLEAN(B25)))</f>
        <v>Laptop Bag</v>
      </c>
      <c r="K25" s="19" t="s">
        <v>59</v>
      </c>
      <c r="L25" s="42" t="str">
        <f t="shared" si="1"/>
        <v>21-AUG</v>
      </c>
      <c r="M25" t="str">
        <f t="shared" si="2"/>
        <v>CA</v>
      </c>
      <c r="N25" t="str">
        <f t="shared" si="3"/>
        <v>Laptop Bag Samsonite</v>
      </c>
      <c r="O25" s="38">
        <v>50</v>
      </c>
      <c r="P25" s="41">
        <v>46073</v>
      </c>
      <c r="Q25" s="7">
        <v>50</v>
      </c>
      <c r="R25" s="19" t="s">
        <v>59</v>
      </c>
    </row>
    <row r="26" spans="1:18">
      <c r="A26" s="29" t="s">
        <v>79</v>
      </c>
      <c r="B26" s="33" t="s">
        <v>80</v>
      </c>
      <c r="C26" s="33" t="s">
        <v>81</v>
      </c>
      <c r="D26" s="33">
        <v>800</v>
      </c>
      <c r="E26" s="33">
        <v>45</v>
      </c>
      <c r="F26" s="33" t="s">
        <v>12</v>
      </c>
      <c r="G26" s="32">
        <f t="shared" si="0"/>
        <v>800</v>
      </c>
      <c r="H26" s="18">
        <f>IF(ISBLANK(D26),AVERAGE($D$2:$D$35),D26)</f>
        <v>800</v>
      </c>
      <c r="I26" s="32" t="str">
        <f>IF(ISBLANK(F26),"unknown",F26)</f>
        <v>Electronics</v>
      </c>
      <c r="J26" t="str">
        <f>PROPER(TRIM(CLEAN(B26)))</f>
        <v>Smartphone</v>
      </c>
      <c r="K26" s="20" t="s">
        <v>12</v>
      </c>
      <c r="L26" s="42" t="str">
        <f t="shared" si="1"/>
        <v>29-SEP</v>
      </c>
      <c r="M26" t="str">
        <f t="shared" si="2"/>
        <v>CA</v>
      </c>
      <c r="N26" t="str">
        <f t="shared" si="3"/>
        <v>Smartphone Google</v>
      </c>
      <c r="O26" s="37">
        <v>800</v>
      </c>
      <c r="P26" s="41">
        <v>46074</v>
      </c>
      <c r="Q26" s="5">
        <v>800</v>
      </c>
      <c r="R26" s="20" t="s">
        <v>12</v>
      </c>
    </row>
    <row r="27" spans="1:18">
      <c r="A27" s="30" t="s">
        <v>82</v>
      </c>
      <c r="B27" s="6" t="s">
        <v>65</v>
      </c>
      <c r="C27" s="6" t="s">
        <v>83</v>
      </c>
      <c r="D27" s="6"/>
      <c r="E27" s="6">
        <v>25</v>
      </c>
      <c r="F27" s="6" t="s">
        <v>16</v>
      </c>
      <c r="G27" s="32" t="str">
        <f t="shared" si="0"/>
        <v>unknown</v>
      </c>
      <c r="H27" s="8">
        <f>IF(ISBLANK(D27),AVERAGE($D$2:$D$35),D27)</f>
        <v>309.35483870967744</v>
      </c>
      <c r="I27" s="32" t="str">
        <f>IF(ISBLANK(F27),"unknown",F27)</f>
        <v>Fashion</v>
      </c>
      <c r="J27" t="str">
        <f>PROPER(TRIM(CLEAN(B27)))</f>
        <v>Sunglasses</v>
      </c>
      <c r="K27" s="19" t="s">
        <v>16</v>
      </c>
      <c r="L27" s="42" t="str">
        <f t="shared" si="1"/>
        <v>03-JUN</v>
      </c>
      <c r="M27" t="str">
        <f t="shared" si="2"/>
        <v>CA</v>
      </c>
      <c r="N27" t="str">
        <f t="shared" si="3"/>
        <v>Sunglasses Ray-Ban</v>
      </c>
      <c r="O27" s="38">
        <v>309</v>
      </c>
      <c r="P27" s="41">
        <v>46075</v>
      </c>
      <c r="Q27" s="7"/>
      <c r="R27" s="19" t="s">
        <v>16</v>
      </c>
    </row>
    <row r="28" spans="1:18">
      <c r="A28" s="29" t="s">
        <v>84</v>
      </c>
      <c r="B28" s="33" t="s">
        <v>35</v>
      </c>
      <c r="C28" s="33" t="s">
        <v>85</v>
      </c>
      <c r="D28" s="33">
        <v>400</v>
      </c>
      <c r="E28" s="33">
        <v>40</v>
      </c>
      <c r="F28" s="33" t="s">
        <v>20</v>
      </c>
      <c r="G28" s="32">
        <f t="shared" si="0"/>
        <v>400</v>
      </c>
      <c r="H28" s="4">
        <f>IF(ISBLANK(D28),AVERAGE($D$2:$D$35),D28)</f>
        <v>400</v>
      </c>
      <c r="I28" s="32" t="str">
        <f>IF(ISBLANK(F28),"unknown",F28)</f>
        <v>Kitchen</v>
      </c>
      <c r="J28" t="str">
        <f>PROPER(TRIM(CLEAN(B28)))</f>
        <v>Blender</v>
      </c>
      <c r="K28" s="20" t="s">
        <v>20</v>
      </c>
      <c r="L28" s="42" t="str">
        <f t="shared" si="1"/>
        <v>11-JUL</v>
      </c>
      <c r="M28" t="str">
        <f t="shared" si="2"/>
        <v>CA</v>
      </c>
      <c r="N28" t="str">
        <f t="shared" si="3"/>
        <v>Blender Vitamix</v>
      </c>
      <c r="O28" s="37">
        <v>400</v>
      </c>
      <c r="P28" s="41">
        <v>46076</v>
      </c>
      <c r="Q28" s="5">
        <v>400</v>
      </c>
      <c r="R28" s="20" t="s">
        <v>20</v>
      </c>
    </row>
    <row r="29" spans="1:18">
      <c r="A29" s="30" t="s">
        <v>53</v>
      </c>
      <c r="B29" s="6" t="s">
        <v>54</v>
      </c>
      <c r="C29" s="6" t="s">
        <v>55</v>
      </c>
      <c r="D29" s="6">
        <v>250</v>
      </c>
      <c r="E29" s="6">
        <v>20</v>
      </c>
      <c r="F29" s="6" t="s">
        <v>30</v>
      </c>
      <c r="G29" s="32">
        <f t="shared" si="0"/>
        <v>250</v>
      </c>
      <c r="H29" s="4">
        <f>IF(ISBLANK(D29),AVERAGE($D$2:$D$35),D29)</f>
        <v>250</v>
      </c>
      <c r="I29" s="32" t="str">
        <f>IF(ISBLANK(F29),"unknown",F29)</f>
        <v>Electroni</v>
      </c>
      <c r="J29" t="str">
        <f>PROPER(TRIM(CLEAN(B29)))</f>
        <v>Headphones</v>
      </c>
      <c r="K29" s="25" t="s">
        <v>110</v>
      </c>
      <c r="L29" s="42" t="str">
        <f t="shared" si="1"/>
        <v>16-APR</v>
      </c>
      <c r="M29" t="str">
        <f t="shared" si="2"/>
        <v>ES</v>
      </c>
      <c r="N29" t="str">
        <f t="shared" si="3"/>
        <v>headphones Bose</v>
      </c>
      <c r="O29" s="38">
        <v>250</v>
      </c>
      <c r="P29" s="41">
        <v>46077</v>
      </c>
      <c r="Q29" s="7">
        <v>250</v>
      </c>
      <c r="R29" s="19" t="s">
        <v>30</v>
      </c>
    </row>
    <row r="30" spans="1:18">
      <c r="A30" s="29" t="s">
        <v>86</v>
      </c>
      <c r="B30" s="33" t="s">
        <v>87</v>
      </c>
      <c r="C30" s="33" t="s">
        <v>88</v>
      </c>
      <c r="D30" s="33">
        <v>60</v>
      </c>
      <c r="E30" s="33">
        <v>30</v>
      </c>
      <c r="F30" s="33" t="s">
        <v>16</v>
      </c>
      <c r="G30" s="32">
        <f t="shared" si="0"/>
        <v>60</v>
      </c>
      <c r="H30" s="4">
        <f>IF(ISBLANK(D30),AVERAGE($D$2:$D$35),D30)</f>
        <v>60</v>
      </c>
      <c r="I30" s="32" t="str">
        <f>IF(ISBLANK(F30),"unknown",F30)</f>
        <v>Fashion</v>
      </c>
      <c r="J30" t="str">
        <f>PROPER(TRIM(CLEAN(B30)))</f>
        <v>Dress</v>
      </c>
      <c r="K30" s="20" t="s">
        <v>16</v>
      </c>
      <c r="L30" s="42" t="str">
        <f t="shared" si="1"/>
        <v>07-MAR</v>
      </c>
      <c r="M30" t="str">
        <f t="shared" si="2"/>
        <v>CA</v>
      </c>
      <c r="N30" t="str">
        <f t="shared" si="3"/>
        <v>Dress Zara</v>
      </c>
      <c r="O30" s="37">
        <v>60</v>
      </c>
      <c r="P30" s="41">
        <v>46078</v>
      </c>
      <c r="Q30" s="5">
        <v>60</v>
      </c>
      <c r="R30" s="20" t="s">
        <v>16</v>
      </c>
    </row>
    <row r="31" spans="1:18">
      <c r="A31" s="30" t="s">
        <v>89</v>
      </c>
      <c r="B31" s="6" t="s">
        <v>90</v>
      </c>
      <c r="C31" s="6" t="s">
        <v>91</v>
      </c>
      <c r="D31" s="6">
        <v>40</v>
      </c>
      <c r="E31" s="6">
        <v>10</v>
      </c>
      <c r="F31" s="6" t="s">
        <v>20</v>
      </c>
      <c r="G31" s="32">
        <f t="shared" si="0"/>
        <v>40</v>
      </c>
      <c r="H31" s="4">
        <f>IF(ISBLANK(D31),AVERAGE($D$2:$D$35),D31)</f>
        <v>40</v>
      </c>
      <c r="I31" s="32" t="str">
        <f>IF(ISBLANK(F31),"unknown",F31)</f>
        <v>Kitchen</v>
      </c>
      <c r="J31" t="str">
        <f>PROPER(TRIM(CLEAN(B31)))</f>
        <v>Toaster</v>
      </c>
      <c r="K31" s="19" t="s">
        <v>20</v>
      </c>
      <c r="L31" s="42" t="str">
        <f t="shared" si="1"/>
        <v>13-APR</v>
      </c>
      <c r="M31" t="str">
        <f t="shared" si="2"/>
        <v>CA</v>
      </c>
      <c r="N31" t="str">
        <f t="shared" si="3"/>
        <v>Toaster Hamilton</v>
      </c>
      <c r="O31" s="38">
        <v>40</v>
      </c>
      <c r="P31" s="41">
        <v>46079</v>
      </c>
      <c r="Q31" s="7">
        <v>40</v>
      </c>
      <c r="R31" s="19" t="s">
        <v>20</v>
      </c>
    </row>
    <row r="32" spans="1:18">
      <c r="A32" s="29" t="s">
        <v>92</v>
      </c>
      <c r="B32" s="33" t="s">
        <v>77</v>
      </c>
      <c r="C32" s="33" t="s">
        <v>93</v>
      </c>
      <c r="D32" s="33">
        <v>130</v>
      </c>
      <c r="E32" s="33">
        <v>5</v>
      </c>
      <c r="F32" s="33" t="s">
        <v>12</v>
      </c>
      <c r="G32" s="32">
        <f t="shared" si="0"/>
        <v>130</v>
      </c>
      <c r="H32" s="4">
        <f>IF(ISBLANK(D32),AVERAGE($D$2:$D$35),D32)</f>
        <v>130</v>
      </c>
      <c r="I32" s="32" t="str">
        <f>IF(ISBLANK(F32),"unknown",F32)</f>
        <v>Electronics</v>
      </c>
      <c r="J32" t="str">
        <f>PROPER(TRIM(CLEAN(B32)))</f>
        <v>Fitness Tracker</v>
      </c>
      <c r="K32" s="20" t="s">
        <v>12</v>
      </c>
      <c r="L32" s="42" t="str">
        <f t="shared" si="1"/>
        <v>24-MAY</v>
      </c>
      <c r="M32" t="str">
        <f t="shared" si="2"/>
        <v>CA</v>
      </c>
      <c r="N32" t="str">
        <f t="shared" si="3"/>
        <v>Fitness Tracker Garmin</v>
      </c>
      <c r="O32" s="37">
        <v>130</v>
      </c>
      <c r="P32" s="41">
        <v>46080</v>
      </c>
      <c r="Q32" s="5">
        <v>130</v>
      </c>
      <c r="R32" s="20" t="s">
        <v>12</v>
      </c>
    </row>
    <row r="33" spans="1:18">
      <c r="A33" s="30" t="s">
        <v>94</v>
      </c>
      <c r="B33" s="6" t="s">
        <v>95</v>
      </c>
      <c r="C33" s="6" t="s">
        <v>96</v>
      </c>
      <c r="D33" s="6">
        <v>50</v>
      </c>
      <c r="E33" s="6">
        <v>50</v>
      </c>
      <c r="F33" s="6" t="s">
        <v>16</v>
      </c>
      <c r="G33" s="32">
        <f t="shared" si="0"/>
        <v>50</v>
      </c>
      <c r="H33" s="4">
        <f>IF(ISBLANK(D33),AVERAGE($D$2:$D$35),D33)</f>
        <v>50</v>
      </c>
      <c r="I33" s="32" t="str">
        <f t="shared" ref="I33:I35" si="4">IF(ISBLANK(F33),"unknown",F33)</f>
        <v>Fashion</v>
      </c>
      <c r="J33" t="str">
        <f>PROPER(TRIM(CLEAN(B33)))</f>
        <v>Jeans</v>
      </c>
      <c r="K33" s="19" t="s">
        <v>16</v>
      </c>
      <c r="L33" s="42" t="str">
        <f t="shared" si="1"/>
        <v>02-DEC</v>
      </c>
      <c r="M33" t="str">
        <f t="shared" si="2"/>
        <v>CA</v>
      </c>
      <c r="N33" t="str">
        <f t="shared" si="3"/>
        <v>Jeans Levi's</v>
      </c>
      <c r="O33" s="38">
        <v>50</v>
      </c>
      <c r="P33" s="41">
        <v>46081</v>
      </c>
      <c r="Q33" s="7">
        <v>50</v>
      </c>
      <c r="R33" s="19" t="s">
        <v>16</v>
      </c>
    </row>
    <row r="34" spans="1:18">
      <c r="A34" s="29" t="s">
        <v>44</v>
      </c>
      <c r="B34" s="33" t="s">
        <v>45</v>
      </c>
      <c r="C34" s="33" t="s">
        <v>46</v>
      </c>
      <c r="D34" s="33">
        <v>950</v>
      </c>
      <c r="E34" s="33">
        <v>25</v>
      </c>
      <c r="F34" s="33" t="s">
        <v>12</v>
      </c>
      <c r="G34" s="32">
        <f t="shared" si="0"/>
        <v>950</v>
      </c>
      <c r="H34" s="4">
        <f t="shared" ref="H34:H35" si="5">IF(ISBLANK(D34),AVERAGE($D$2:$D$35),D34)</f>
        <v>950</v>
      </c>
      <c r="I34" s="32" t="str">
        <f t="shared" si="4"/>
        <v>Electronics</v>
      </c>
      <c r="J34" t="str">
        <f t="shared" ref="J34:J35" si="6">PROPER(TRIM(CLEAN(B34)))</f>
        <v>Laptop</v>
      </c>
      <c r="K34" s="20" t="s">
        <v>12</v>
      </c>
      <c r="L34" s="42" t="str">
        <f t="shared" si="1"/>
        <v>17-JUN</v>
      </c>
      <c r="M34" t="str">
        <f t="shared" si="2"/>
        <v>IN</v>
      </c>
      <c r="N34" t="str">
        <f t="shared" si="3"/>
        <v>Laptop HP</v>
      </c>
      <c r="O34" s="37">
        <v>950</v>
      </c>
      <c r="P34" s="41">
        <v>46082</v>
      </c>
      <c r="Q34" s="5">
        <v>950</v>
      </c>
      <c r="R34" s="20" t="s">
        <v>12</v>
      </c>
    </row>
    <row r="35" spans="1:18">
      <c r="A35" s="30" t="s">
        <v>97</v>
      </c>
      <c r="B35" s="6" t="s">
        <v>98</v>
      </c>
      <c r="C35" s="6" t="s">
        <v>99</v>
      </c>
      <c r="D35" s="6">
        <v>100</v>
      </c>
      <c r="E35" s="6">
        <v>20</v>
      </c>
      <c r="F35" s="6" t="s">
        <v>59</v>
      </c>
      <c r="G35" s="32">
        <f t="shared" si="0"/>
        <v>100</v>
      </c>
      <c r="H35" s="4">
        <f t="shared" si="5"/>
        <v>100</v>
      </c>
      <c r="I35" s="32" t="str">
        <f t="shared" si="4"/>
        <v>Accessories</v>
      </c>
      <c r="J35" t="str">
        <f t="shared" si="6"/>
        <v>Watch</v>
      </c>
      <c r="K35" s="22" t="s">
        <v>59</v>
      </c>
      <c r="L35" s="42" t="str">
        <f t="shared" si="1"/>
        <v>09-JUL</v>
      </c>
      <c r="M35" t="str">
        <f t="shared" si="2"/>
        <v>FR</v>
      </c>
      <c r="N35" t="str">
        <f t="shared" si="3"/>
        <v>Watch Casio</v>
      </c>
      <c r="O35" s="39">
        <v>100</v>
      </c>
      <c r="P35" s="41">
        <v>46083</v>
      </c>
      <c r="Q35" s="9">
        <v>100</v>
      </c>
      <c r="R35" s="22" t="s">
        <v>59</v>
      </c>
    </row>
    <row r="36" spans="1:18">
      <c r="G36"/>
    </row>
    <row r="44" spans="1:18" ht="12" customHeight="1">
      <c r="G44" s="32"/>
      <c r="H44" s="31"/>
    </row>
  </sheetData>
  <mergeCells count="1">
    <mergeCell ref="G1:H1"/>
  </mergeCells>
  <conditionalFormatting sqref="Q1:Q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ellIs" dxfId="12" priority="1" operator="equal">
      <formula>"Electronics"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48CC-75D1-4BBD-8D8C-D9D7136A9B34}">
  <dimension ref="A1:F32"/>
  <sheetViews>
    <sheetView topLeftCell="A18" workbookViewId="0">
      <selection activeCell="D36" sqref="D36"/>
    </sheetView>
  </sheetViews>
  <sheetFormatPr defaultRowHeight="12"/>
  <cols>
    <col min="1" max="1" width="13.7109375" bestFit="1" customWidth="1"/>
    <col min="2" max="3" width="13" bestFit="1" customWidth="1"/>
    <col min="4" max="4" width="13.5703125" bestFit="1" customWidth="1"/>
    <col min="5" max="5" width="13.28515625" bestFit="1" customWidth="1"/>
    <col min="6" max="6" width="13.42578125" bestFit="1" customWidth="1"/>
    <col min="7" max="7" width="13.140625" bestFit="1" customWidth="1"/>
    <col min="8" max="8" width="12.85546875" bestFit="1" customWidth="1"/>
    <col min="9" max="9" width="13.5703125" bestFit="1" customWidth="1"/>
    <col min="10" max="10" width="13.140625" bestFit="1" customWidth="1"/>
    <col min="11" max="11" width="13.28515625" bestFit="1" customWidth="1"/>
    <col min="12" max="12" width="12.28515625" bestFit="1" customWidth="1"/>
    <col min="13" max="13" width="13.42578125" bestFit="1" customWidth="1"/>
    <col min="14" max="14" width="13.28515625" bestFit="1" customWidth="1"/>
    <col min="15" max="16" width="13.140625" bestFit="1" customWidth="1"/>
    <col min="17" max="18" width="13.5703125" bestFit="1" customWidth="1"/>
    <col min="19" max="19" width="12.140625" bestFit="1" customWidth="1"/>
    <col min="20" max="20" width="13.7109375" bestFit="1" customWidth="1"/>
    <col min="21" max="21" width="13.42578125" bestFit="1" customWidth="1"/>
    <col min="22" max="22" width="13.5703125" bestFit="1" customWidth="1"/>
    <col min="23" max="23" width="13.140625" bestFit="1" customWidth="1"/>
    <col min="24" max="24" width="14.140625" bestFit="1" customWidth="1"/>
    <col min="25" max="25" width="14.5703125" bestFit="1" customWidth="1"/>
    <col min="26" max="27" width="13.140625" bestFit="1" customWidth="1"/>
    <col min="28" max="28" width="12.85546875" bestFit="1" customWidth="1"/>
    <col min="29" max="29" width="14.140625" bestFit="1" customWidth="1"/>
    <col min="30" max="30" width="13.7109375" bestFit="1" customWidth="1"/>
    <col min="31" max="31" width="13.28515625" bestFit="1" customWidth="1"/>
    <col min="32" max="32" width="14.140625" bestFit="1" customWidth="1"/>
    <col min="33" max="34" width="13.28515625" bestFit="1" customWidth="1"/>
    <col min="35" max="35" width="12.71093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3" t="s">
        <v>9</v>
      </c>
      <c r="B2" s="33" t="s">
        <v>10</v>
      </c>
      <c r="C2" s="33" t="s">
        <v>11</v>
      </c>
      <c r="D2" s="33">
        <v>1000</v>
      </c>
      <c r="E2" s="33">
        <v>30</v>
      </c>
      <c r="F2" s="33" t="s">
        <v>12</v>
      </c>
    </row>
    <row r="3" spans="1:6">
      <c r="A3" s="6" t="s">
        <v>13</v>
      </c>
      <c r="B3" s="6" t="s">
        <v>14</v>
      </c>
      <c r="C3" s="6" t="s">
        <v>15</v>
      </c>
      <c r="D3" s="6">
        <v>80</v>
      </c>
      <c r="E3" s="6">
        <v>15</v>
      </c>
      <c r="F3" s="6" t="s">
        <v>16</v>
      </c>
    </row>
    <row r="4" spans="1:6">
      <c r="A4" s="33" t="s">
        <v>17</v>
      </c>
      <c r="B4" s="33" t="s">
        <v>18</v>
      </c>
      <c r="C4" s="33" t="s">
        <v>19</v>
      </c>
      <c r="D4" s="33">
        <v>130</v>
      </c>
      <c r="E4" s="33">
        <v>40</v>
      </c>
      <c r="F4" s="33" t="s">
        <v>20</v>
      </c>
    </row>
    <row r="5" spans="1:6">
      <c r="A5" s="6" t="s">
        <v>21</v>
      </c>
      <c r="B5" s="6" t="s">
        <v>22</v>
      </c>
      <c r="C5" s="6" t="s">
        <v>23</v>
      </c>
      <c r="D5" s="6">
        <v>900</v>
      </c>
      <c r="E5" s="6">
        <v>25</v>
      </c>
      <c r="F5" s="6" t="s">
        <v>12</v>
      </c>
    </row>
    <row r="6" spans="1:6">
      <c r="A6" s="33" t="s">
        <v>24</v>
      </c>
      <c r="B6" s="33" t="s">
        <v>25</v>
      </c>
      <c r="C6" s="33" t="s">
        <v>26</v>
      </c>
      <c r="D6" s="33">
        <v>70</v>
      </c>
      <c r="E6" s="33">
        <v>20</v>
      </c>
      <c r="F6" s="33"/>
    </row>
    <row r="7" spans="1:6">
      <c r="A7" s="6" t="s">
        <v>27</v>
      </c>
      <c r="B7" s="6" t="s">
        <v>28</v>
      </c>
      <c r="C7" s="6" t="s">
        <v>29</v>
      </c>
      <c r="D7" s="6"/>
      <c r="E7" s="6">
        <v>45</v>
      </c>
      <c r="F7" s="6" t="s">
        <v>30</v>
      </c>
    </row>
    <row r="8" spans="1:6">
      <c r="A8" s="33" t="s">
        <v>31</v>
      </c>
      <c r="B8" s="33" t="s">
        <v>32</v>
      </c>
      <c r="C8" s="33" t="s">
        <v>33</v>
      </c>
      <c r="D8" s="33">
        <v>30</v>
      </c>
      <c r="E8" s="33">
        <v>5</v>
      </c>
      <c r="F8" s="33" t="s">
        <v>16</v>
      </c>
    </row>
    <row r="9" spans="1:6">
      <c r="A9" s="6" t="s">
        <v>34</v>
      </c>
      <c r="B9" s="6" t="s">
        <v>35</v>
      </c>
      <c r="C9" s="6" t="s">
        <v>36</v>
      </c>
      <c r="D9" s="6">
        <v>90</v>
      </c>
      <c r="E9" s="6">
        <v>35</v>
      </c>
      <c r="F9" s="6" t="s">
        <v>20</v>
      </c>
    </row>
    <row r="10" spans="1:6">
      <c r="A10" s="33" t="s">
        <v>37</v>
      </c>
      <c r="B10" s="33" t="s">
        <v>38</v>
      </c>
      <c r="C10" s="33" t="s">
        <v>39</v>
      </c>
      <c r="D10" s="33">
        <v>500</v>
      </c>
      <c r="E10" s="33">
        <v>50</v>
      </c>
      <c r="F10" s="33" t="s">
        <v>12</v>
      </c>
    </row>
    <row r="11" spans="1:6">
      <c r="A11" s="6" t="s">
        <v>40</v>
      </c>
      <c r="B11" s="6" t="s">
        <v>41</v>
      </c>
      <c r="C11" s="6" t="s">
        <v>42</v>
      </c>
      <c r="D11" s="6">
        <v>130</v>
      </c>
      <c r="E11" s="6">
        <v>10</v>
      </c>
      <c r="F11" s="6" t="s">
        <v>43</v>
      </c>
    </row>
    <row r="12" spans="1:6">
      <c r="A12" s="33" t="s">
        <v>44</v>
      </c>
      <c r="B12" s="33" t="s">
        <v>45</v>
      </c>
      <c r="C12" s="33" t="s">
        <v>46</v>
      </c>
      <c r="D12" s="33">
        <v>950</v>
      </c>
      <c r="E12" s="33">
        <v>25</v>
      </c>
      <c r="F12" s="33" t="s">
        <v>12</v>
      </c>
    </row>
    <row r="13" spans="1:6">
      <c r="A13" s="6" t="s">
        <v>47</v>
      </c>
      <c r="B13" s="6" t="s">
        <v>14</v>
      </c>
      <c r="C13" s="6" t="s">
        <v>33</v>
      </c>
      <c r="D13" s="6">
        <v>90</v>
      </c>
      <c r="E13" s="6">
        <v>40</v>
      </c>
      <c r="F13" s="6"/>
    </row>
    <row r="14" spans="1:6">
      <c r="A14" s="33" t="s">
        <v>48</v>
      </c>
      <c r="B14" s="33" t="s">
        <v>18</v>
      </c>
      <c r="C14" s="33" t="s">
        <v>49</v>
      </c>
      <c r="D14" s="33">
        <v>120</v>
      </c>
      <c r="E14" s="33">
        <v>35</v>
      </c>
      <c r="F14" s="33"/>
    </row>
    <row r="15" spans="1:6">
      <c r="A15" s="6" t="s">
        <v>50</v>
      </c>
      <c r="B15" s="6" t="s">
        <v>51</v>
      </c>
      <c r="C15" s="6" t="s">
        <v>52</v>
      </c>
      <c r="D15" s="6">
        <v>150</v>
      </c>
      <c r="E15" s="6">
        <v>15</v>
      </c>
      <c r="F15" s="6" t="s">
        <v>30</v>
      </c>
    </row>
    <row r="16" spans="1:6">
      <c r="A16" s="33" t="s">
        <v>53</v>
      </c>
      <c r="B16" s="33" t="s">
        <v>54</v>
      </c>
      <c r="C16" s="33" t="s">
        <v>55</v>
      </c>
      <c r="D16" s="33">
        <v>250</v>
      </c>
      <c r="E16" s="33">
        <v>20</v>
      </c>
      <c r="F16" s="33" t="s">
        <v>30</v>
      </c>
    </row>
    <row r="17" spans="1:6">
      <c r="A17" s="6" t="s">
        <v>56</v>
      </c>
      <c r="B17" s="6" t="s">
        <v>57</v>
      </c>
      <c r="C17" s="6" t="s">
        <v>58</v>
      </c>
      <c r="D17" s="6">
        <v>50</v>
      </c>
      <c r="E17" s="6">
        <v>35</v>
      </c>
      <c r="F17" s="6" t="s">
        <v>59</v>
      </c>
    </row>
    <row r="18" spans="1:6">
      <c r="A18" s="33" t="s">
        <v>60</v>
      </c>
      <c r="B18" s="33" t="s">
        <v>51</v>
      </c>
      <c r="C18" s="33" t="s">
        <v>61</v>
      </c>
      <c r="D18" s="33">
        <v>160</v>
      </c>
      <c r="E18" s="33">
        <v>15</v>
      </c>
      <c r="F18" s="33" t="s">
        <v>30</v>
      </c>
    </row>
    <row r="19" spans="1:6">
      <c r="A19" s="6" t="s">
        <v>62</v>
      </c>
      <c r="B19" s="6" t="s">
        <v>10</v>
      </c>
      <c r="C19" s="6" t="s">
        <v>63</v>
      </c>
      <c r="D19" s="6">
        <v>980</v>
      </c>
      <c r="E19" s="6">
        <v>10</v>
      </c>
      <c r="F19" s="6" t="s">
        <v>12</v>
      </c>
    </row>
    <row r="20" spans="1:6">
      <c r="A20" s="33" t="s">
        <v>64</v>
      </c>
      <c r="B20" s="33" t="s">
        <v>65</v>
      </c>
      <c r="C20" s="33" t="s">
        <v>66</v>
      </c>
      <c r="D20" s="33">
        <v>150</v>
      </c>
      <c r="E20" s="33">
        <v>15</v>
      </c>
      <c r="F20" s="33" t="s">
        <v>16</v>
      </c>
    </row>
    <row r="21" spans="1:6">
      <c r="A21" s="6" t="s">
        <v>67</v>
      </c>
      <c r="B21" s="6" t="s">
        <v>68</v>
      </c>
      <c r="C21" s="6" t="s">
        <v>69</v>
      </c>
      <c r="D21" s="6"/>
      <c r="E21" s="6">
        <v>10</v>
      </c>
      <c r="F21" s="6" t="s">
        <v>43</v>
      </c>
    </row>
    <row r="22" spans="1:6">
      <c r="A22" s="33" t="s">
        <v>70</v>
      </c>
      <c r="B22" s="33" t="s">
        <v>71</v>
      </c>
      <c r="C22" s="33" t="s">
        <v>72</v>
      </c>
      <c r="D22" s="33">
        <v>700</v>
      </c>
      <c r="E22" s="33">
        <v>50</v>
      </c>
      <c r="F22" s="33" t="s">
        <v>12</v>
      </c>
    </row>
    <row r="23" spans="1:6">
      <c r="A23" s="6" t="s">
        <v>73</v>
      </c>
      <c r="B23" s="6" t="s">
        <v>74</v>
      </c>
      <c r="C23" s="6" t="s">
        <v>75</v>
      </c>
      <c r="D23" s="6">
        <v>80</v>
      </c>
      <c r="E23" s="6">
        <v>20</v>
      </c>
      <c r="F23" s="6" t="s">
        <v>20</v>
      </c>
    </row>
    <row r="24" spans="1:6">
      <c r="A24" s="33" t="s">
        <v>76</v>
      </c>
      <c r="B24" s="33" t="s">
        <v>77</v>
      </c>
      <c r="C24" s="33" t="s">
        <v>78</v>
      </c>
      <c r="D24" s="33">
        <v>150</v>
      </c>
      <c r="E24" s="33">
        <v>30</v>
      </c>
      <c r="F24" s="33"/>
    </row>
    <row r="25" spans="1:6">
      <c r="A25" s="33" t="s">
        <v>79</v>
      </c>
      <c r="B25" s="33" t="s">
        <v>80</v>
      </c>
      <c r="C25" s="33" t="s">
        <v>81</v>
      </c>
      <c r="D25" s="33">
        <v>800</v>
      </c>
      <c r="E25" s="33">
        <v>45</v>
      </c>
      <c r="F25" s="33" t="s">
        <v>12</v>
      </c>
    </row>
    <row r="26" spans="1:6">
      <c r="A26" s="6" t="s">
        <v>82</v>
      </c>
      <c r="B26" s="6" t="s">
        <v>65</v>
      </c>
      <c r="C26" s="6" t="s">
        <v>83</v>
      </c>
      <c r="D26" s="6"/>
      <c r="E26" s="6">
        <v>25</v>
      </c>
      <c r="F26" s="6" t="s">
        <v>16</v>
      </c>
    </row>
    <row r="27" spans="1:6">
      <c r="A27" s="33" t="s">
        <v>84</v>
      </c>
      <c r="B27" s="33" t="s">
        <v>35</v>
      </c>
      <c r="C27" s="33" t="s">
        <v>85</v>
      </c>
      <c r="D27" s="33">
        <v>400</v>
      </c>
      <c r="E27" s="33">
        <v>40</v>
      </c>
      <c r="F27" s="33" t="s">
        <v>20</v>
      </c>
    </row>
    <row r="28" spans="1:6">
      <c r="A28" s="33" t="s">
        <v>86</v>
      </c>
      <c r="B28" s="33" t="s">
        <v>87</v>
      </c>
      <c r="C28" s="33" t="s">
        <v>88</v>
      </c>
      <c r="D28" s="33">
        <v>60</v>
      </c>
      <c r="E28" s="33">
        <v>30</v>
      </c>
      <c r="F28" s="33" t="s">
        <v>16</v>
      </c>
    </row>
    <row r="29" spans="1:6">
      <c r="A29" s="6" t="s">
        <v>89</v>
      </c>
      <c r="B29" s="6" t="s">
        <v>90</v>
      </c>
      <c r="C29" s="6" t="s">
        <v>91</v>
      </c>
      <c r="D29" s="6">
        <v>40</v>
      </c>
      <c r="E29" s="6">
        <v>10</v>
      </c>
      <c r="F29" s="6" t="s">
        <v>20</v>
      </c>
    </row>
    <row r="30" spans="1:6">
      <c r="A30" s="33" t="s">
        <v>92</v>
      </c>
      <c r="B30" s="33" t="s">
        <v>77</v>
      </c>
      <c r="C30" s="33" t="s">
        <v>93</v>
      </c>
      <c r="D30" s="33">
        <v>130</v>
      </c>
      <c r="E30" s="33">
        <v>5</v>
      </c>
      <c r="F30" s="33" t="s">
        <v>12</v>
      </c>
    </row>
    <row r="31" spans="1:6">
      <c r="A31" s="6" t="s">
        <v>94</v>
      </c>
      <c r="B31" s="6" t="s">
        <v>95</v>
      </c>
      <c r="C31" s="6" t="s">
        <v>96</v>
      </c>
      <c r="D31" s="6">
        <v>50</v>
      </c>
      <c r="E31" s="6">
        <v>50</v>
      </c>
      <c r="F31" s="6" t="s">
        <v>16</v>
      </c>
    </row>
    <row r="32" spans="1:6">
      <c r="A32" s="6" t="s">
        <v>97</v>
      </c>
      <c r="B32" s="6" t="s">
        <v>98</v>
      </c>
      <c r="C32" s="6" t="s">
        <v>99</v>
      </c>
      <c r="D32" s="6">
        <v>100</v>
      </c>
      <c r="E32" s="6">
        <v>20</v>
      </c>
      <c r="F32" s="6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LATHA VASANTHA MALA A</cp:lastModifiedBy>
  <cp:revision/>
  <dcterms:created xsi:type="dcterms:W3CDTF">2026-06-13T13:16:00Z</dcterms:created>
  <dcterms:modified xsi:type="dcterms:W3CDTF">2026-06-23T12:29:30Z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3DCE25AFC12C4BCCA210C6C4E564ED69_13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