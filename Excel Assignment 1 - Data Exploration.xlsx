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set" sheetId="1" r:id="rId1"/>
  </sheets>
  <definedNames>
    <definedName name="_xlnm._FilterDatabase" localSheetId="0" hidden="1">Dataset!$A$1:$N$35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latha</author>
  </authors>
  <commentList>
    <comment ref="G3" authorId="0">
      <text>
        <r>
          <rPr>
            <b/>
            <sz val="9"/>
            <rFont val="Times New Roman"/>
            <charset val="0"/>
          </rPr>
          <t>latha: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<sst xmlns="http://schemas.openxmlformats.org/spreadsheetml/2006/main" count="157" uniqueCount="108">
  <si>
    <t>Product ID</t>
  </si>
  <si>
    <t>Product Name</t>
  </si>
  <si>
    <t>Brand Name</t>
  </si>
  <si>
    <t>Price ($)</t>
  </si>
  <si>
    <t>Quantity</t>
  </si>
  <si>
    <t>Category</t>
  </si>
  <si>
    <t>TASK 1</t>
  </si>
  <si>
    <t>TASK 2</t>
  </si>
  <si>
    <t>PRICE RANGE- IF</t>
  </si>
  <si>
    <t>SUMIF</t>
  </si>
  <si>
    <t>COUNTIF</t>
  </si>
  <si>
    <t>DAY</t>
  </si>
  <si>
    <t>COUNTRY CODE</t>
  </si>
  <si>
    <t>MONTH</t>
  </si>
  <si>
    <t>28-JAN-US</t>
  </si>
  <si>
    <t>Laptop</t>
  </si>
  <si>
    <t>Dell</t>
  </si>
  <si>
    <t>Electronics</t>
  </si>
  <si>
    <t>SUM</t>
  </si>
  <si>
    <t>COUNT</t>
  </si>
  <si>
    <t>AVERAGE</t>
  </si>
  <si>
    <t>MININUM PRICE</t>
  </si>
  <si>
    <t>MAXIMUM PRICE</t>
  </si>
  <si>
    <t>15-FEB-US</t>
  </si>
  <si>
    <t>Sneakers</t>
  </si>
  <si>
    <t>Nike</t>
  </si>
  <si>
    <t>Fashion</t>
  </si>
  <si>
    <t>Electronics total price</t>
  </si>
  <si>
    <t>LESSS THAN $100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</si>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</sst>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  <scheme val="minor"/>
    </font>
    <font>
      <sz val="11"/>
      <color theme="1"/>
      <name val="Arial Unicode M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FFFF00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1" xfId="0" applyFont="1" applyFill="1" applyBorder="1" applyAlignme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/>
    <xf numFmtId="0" fontId="0" fillId="0" borderId="2" xfId="0" applyFont="1" applyBorder="1" applyAlignment="1"/>
    <xf numFmtId="0" fontId="2" fillId="4" borderId="0" xfId="0" applyFont="1" applyFill="1"/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4" fillId="0" borderId="3" xfId="0" applyFont="1" applyBorder="1" applyAlignment="1"/>
    <xf numFmtId="0" fontId="0" fillId="5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000"/>
  <sheetViews>
    <sheetView tabSelected="1" workbookViewId="0">
      <selection activeCell="I2" sqref="I2"/>
    </sheetView>
  </sheetViews>
  <sheetFormatPr defaultColWidth="12.6296296296296" defaultRowHeight="15" customHeight="1"/>
  <cols>
    <col min="2" max="2" width="14.1296296296296" customWidth="1"/>
    <col min="9" max="9" width="12.8888888888889"/>
    <col min="10" max="10" width="16.8888888888889" customWidth="1"/>
    <col min="11" max="11" width="17.1111111111111" customWidth="1"/>
    <col min="12" max="12" width="25.8888888888889" customWidth="1"/>
    <col min="13" max="13" width="20.2222222222222" customWidth="1"/>
    <col min="14" max="14" width="19" customWidth="1"/>
    <col min="16" max="16" width="16.1111111111111" customWidth="1"/>
  </cols>
  <sheetData>
    <row r="1" ht="15.7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  <c r="I1" s="2"/>
      <c r="J1" s="3" t="s">
        <v>7</v>
      </c>
      <c r="K1" s="4"/>
      <c r="L1" s="5" t="s">
        <v>8</v>
      </c>
      <c r="M1" s="3" t="s">
        <v>9</v>
      </c>
      <c r="N1" s="4" t="s">
        <v>10</v>
      </c>
      <c r="O1" s="5" t="s">
        <v>11</v>
      </c>
      <c r="P1" s="5" t="s">
        <v>12</v>
      </c>
      <c r="Q1" s="5" t="s">
        <v>13</v>
      </c>
    </row>
    <row r="2" ht="15.75" customHeight="1" spans="1:17">
      <c r="A2" s="6" t="s">
        <v>14</v>
      </c>
      <c r="B2" s="6" t="s">
        <v>15</v>
      </c>
      <c r="C2" s="6" t="s">
        <v>16</v>
      </c>
      <c r="D2" s="6">
        <v>1000</v>
      </c>
      <c r="E2" s="6">
        <v>30</v>
      </c>
      <c r="F2" s="6" t="s">
        <v>17</v>
      </c>
      <c r="G2" s="7" t="s">
        <v>18</v>
      </c>
      <c r="H2" s="8" t="s">
        <v>19</v>
      </c>
      <c r="I2" s="8" t="s">
        <v>20</v>
      </c>
      <c r="J2" s="8" t="s">
        <v>21</v>
      </c>
      <c r="K2" s="9" t="s">
        <v>22</v>
      </c>
      <c r="L2" s="8" t="str">
        <f>IF(D2&gt;500,"High Price","Standard Price")</f>
        <v>High Price</v>
      </c>
      <c r="M2" s="8">
        <f>SUMIF(F2:F35,"Electronics",D2:D35)</f>
        <v>8050</v>
      </c>
      <c r="N2" s="9">
        <f>COUNTIF(D2:D35,"&lt;100")</f>
        <v>11</v>
      </c>
      <c r="O2" s="8" t="str">
        <f>LEFT(A2,2)</f>
        <v>28</v>
      </c>
      <c r="P2" s="8" t="str">
        <f>RIGHT(A2,2)</f>
        <v>US</v>
      </c>
      <c r="Q2" s="8" t="str">
        <f>MID(A2,4,3)</f>
        <v>JAN</v>
      </c>
    </row>
    <row r="3" ht="15.75" customHeight="1" spans="1:17">
      <c r="A3" s="10" t="s">
        <v>23</v>
      </c>
      <c r="B3" s="10" t="s">
        <v>24</v>
      </c>
      <c r="C3" s="10" t="s">
        <v>25</v>
      </c>
      <c r="D3" s="10">
        <v>80</v>
      </c>
      <c r="E3" s="10">
        <v>15</v>
      </c>
      <c r="F3" s="10" t="s">
        <v>26</v>
      </c>
      <c r="G3" s="11">
        <f>SUM(D2:D35)</f>
        <v>10100</v>
      </c>
      <c r="H3" s="12">
        <f>COUNTA(D2:D35)</f>
        <v>34</v>
      </c>
      <c r="I3" s="13">
        <f>AVERAGEA(D2:D35)</f>
        <v>297.058823529412</v>
      </c>
      <c r="J3" s="12">
        <f>MIN(D2:D35)</f>
        <v>30</v>
      </c>
      <c r="K3" s="14">
        <f>MAX(D2:D35)</f>
        <v>1000</v>
      </c>
      <c r="L3" s="8" t="str">
        <f t="shared" ref="L3:L35" si="0">IF(D3&gt;500,"High Price","Standard Price")</f>
        <v>Standard Price</v>
      </c>
      <c r="M3" s="15" t="s">
        <v>27</v>
      </c>
      <c r="N3" s="16" t="s">
        <v>28</v>
      </c>
      <c r="O3" s="8" t="str">
        <f t="shared" ref="O3:O35" si="1">LEFT(A3,2)</f>
        <v>15</v>
      </c>
      <c r="P3" s="8" t="str">
        <f t="shared" ref="P3:P35" si="2">RIGHT(A3,2)</f>
        <v>US</v>
      </c>
      <c r="Q3" s="8" t="str">
        <f t="shared" ref="Q3:Q35" si="3">MID(A3,4,3)</f>
        <v>FEB</v>
      </c>
    </row>
    <row r="4" ht="15.75" customHeight="1" spans="1:17">
      <c r="A4" s="6" t="s">
        <v>29</v>
      </c>
      <c r="B4" s="6" t="s">
        <v>30</v>
      </c>
      <c r="C4" s="6" t="s">
        <v>31</v>
      </c>
      <c r="D4" s="6">
        <v>130</v>
      </c>
      <c r="E4" s="6">
        <v>40</v>
      </c>
      <c r="F4" s="6" t="s">
        <v>32</v>
      </c>
      <c r="G4" s="6"/>
      <c r="L4" s="8" t="str">
        <f t="shared" si="0"/>
        <v>Standard Price</v>
      </c>
      <c r="O4" s="8" t="str">
        <f t="shared" si="1"/>
        <v>03</v>
      </c>
      <c r="P4" s="8" t="str">
        <f t="shared" si="2"/>
        <v>US</v>
      </c>
      <c r="Q4" s="8" t="str">
        <f t="shared" si="3"/>
        <v>MAR</v>
      </c>
    </row>
    <row r="5" ht="15.75" customHeight="1" spans="1:17">
      <c r="A5" s="10" t="s">
        <v>33</v>
      </c>
      <c r="B5" s="10" t="s">
        <v>34</v>
      </c>
      <c r="C5" s="10" t="s">
        <v>35</v>
      </c>
      <c r="D5" s="10">
        <v>900</v>
      </c>
      <c r="E5" s="10">
        <v>25</v>
      </c>
      <c r="F5" s="10" t="s">
        <v>17</v>
      </c>
      <c r="G5" s="6"/>
      <c r="L5" s="8" t="str">
        <f t="shared" si="0"/>
        <v>High Price</v>
      </c>
      <c r="O5" s="8" t="str">
        <f t="shared" si="1"/>
        <v>11</v>
      </c>
      <c r="P5" s="8" t="str">
        <f t="shared" si="2"/>
        <v>US</v>
      </c>
      <c r="Q5" s="8" t="str">
        <f t="shared" si="3"/>
        <v>APR</v>
      </c>
    </row>
    <row r="6" ht="15.75" customHeight="1" spans="1:17">
      <c r="A6" s="6" t="s">
        <v>36</v>
      </c>
      <c r="B6" s="6" t="s">
        <v>37</v>
      </c>
      <c r="C6" s="6" t="s">
        <v>38</v>
      </c>
      <c r="D6" s="6">
        <v>70</v>
      </c>
      <c r="E6" s="6">
        <v>20</v>
      </c>
      <c r="F6" s="6" t="s">
        <v>39</v>
      </c>
      <c r="G6" s="6"/>
      <c r="L6" s="8" t="str">
        <f t="shared" si="0"/>
        <v>Standard Price</v>
      </c>
      <c r="O6" s="8" t="str">
        <f t="shared" si="1"/>
        <v>22</v>
      </c>
      <c r="P6" s="8" t="str">
        <f t="shared" si="2"/>
        <v>US</v>
      </c>
      <c r="Q6" s="8" t="str">
        <f t="shared" si="3"/>
        <v>MAY</v>
      </c>
    </row>
    <row r="7" ht="15.75" customHeight="1" spans="1:17">
      <c r="A7" s="10" t="s">
        <v>40</v>
      </c>
      <c r="B7" s="10" t="s">
        <v>41</v>
      </c>
      <c r="C7" s="10" t="s">
        <v>42</v>
      </c>
      <c r="D7" s="10">
        <v>200</v>
      </c>
      <c r="E7" s="10">
        <v>45</v>
      </c>
      <c r="F7" s="10" t="s">
        <v>17</v>
      </c>
      <c r="G7" s="6"/>
      <c r="I7" s="17"/>
      <c r="L7" s="8" t="str">
        <f t="shared" si="0"/>
        <v>Standard Price</v>
      </c>
      <c r="O7" s="8" t="str">
        <f t="shared" si="1"/>
        <v>07</v>
      </c>
      <c r="P7" s="8" t="str">
        <f t="shared" si="2"/>
        <v>UK</v>
      </c>
      <c r="Q7" s="8" t="str">
        <f t="shared" si="3"/>
        <v>JUN</v>
      </c>
    </row>
    <row r="8" ht="15.75" customHeight="1" spans="1:17">
      <c r="A8" s="6" t="s">
        <v>43</v>
      </c>
      <c r="B8" s="6" t="s">
        <v>44</v>
      </c>
      <c r="C8" s="6" t="s">
        <v>45</v>
      </c>
      <c r="D8" s="6">
        <v>30</v>
      </c>
      <c r="E8" s="6">
        <v>5</v>
      </c>
      <c r="F8" s="6" t="s">
        <v>26</v>
      </c>
      <c r="G8" s="6"/>
      <c r="L8" s="8" t="str">
        <f t="shared" si="0"/>
        <v>Standard Price</v>
      </c>
      <c r="O8" s="8" t="str">
        <f t="shared" si="1"/>
        <v>19</v>
      </c>
      <c r="P8" s="8" t="str">
        <f t="shared" si="2"/>
        <v>UK</v>
      </c>
      <c r="Q8" s="8" t="str">
        <f t="shared" si="3"/>
        <v>JUL</v>
      </c>
    </row>
    <row r="9" ht="15.75" customHeight="1" spans="1:17">
      <c r="A9" s="10" t="s">
        <v>46</v>
      </c>
      <c r="B9" s="10" t="s">
        <v>47</v>
      </c>
      <c r="C9" s="10" t="s">
        <v>48</v>
      </c>
      <c r="D9" s="10">
        <v>90</v>
      </c>
      <c r="E9" s="10">
        <v>35</v>
      </c>
      <c r="F9" s="10" t="s">
        <v>32</v>
      </c>
      <c r="G9" s="6"/>
      <c r="L9" s="8" t="str">
        <f t="shared" si="0"/>
        <v>Standard Price</v>
      </c>
      <c r="O9" s="8" t="str">
        <f t="shared" si="1"/>
        <v>23</v>
      </c>
      <c r="P9" s="8" t="str">
        <f t="shared" si="2"/>
        <v>UK</v>
      </c>
      <c r="Q9" s="8" t="str">
        <f t="shared" si="3"/>
        <v>AUG</v>
      </c>
    </row>
    <row r="10" ht="15.75" customHeight="1" spans="1:17">
      <c r="A10" s="6" t="s">
        <v>49</v>
      </c>
      <c r="B10" s="6" t="s">
        <v>50</v>
      </c>
      <c r="C10" s="6" t="s">
        <v>51</v>
      </c>
      <c r="D10" s="6">
        <v>500</v>
      </c>
      <c r="E10" s="6">
        <v>50</v>
      </c>
      <c r="F10" s="6" t="s">
        <v>17</v>
      </c>
      <c r="G10" s="6"/>
      <c r="L10" s="8" t="str">
        <f t="shared" si="0"/>
        <v>Standard Price</v>
      </c>
      <c r="O10" s="8" t="str">
        <f t="shared" si="1"/>
        <v>05</v>
      </c>
      <c r="P10" s="8" t="str">
        <f t="shared" si="2"/>
        <v>UK</v>
      </c>
      <c r="Q10" s="8" t="str">
        <f t="shared" si="3"/>
        <v>SEP</v>
      </c>
    </row>
    <row r="11" ht="15.75" customHeight="1" spans="1:17">
      <c r="A11" s="10" t="s">
        <v>52</v>
      </c>
      <c r="B11" s="10" t="s">
        <v>53</v>
      </c>
      <c r="C11" s="10" t="s">
        <v>54</v>
      </c>
      <c r="D11" s="10">
        <v>130</v>
      </c>
      <c r="E11" s="10">
        <v>10</v>
      </c>
      <c r="F11" s="10" t="s">
        <v>39</v>
      </c>
      <c r="G11" s="6"/>
      <c r="L11" s="8" t="str">
        <f t="shared" si="0"/>
        <v>Standard Price</v>
      </c>
      <c r="O11" s="8" t="str">
        <f t="shared" si="1"/>
        <v>14</v>
      </c>
      <c r="P11" s="8" t="str">
        <f t="shared" si="2"/>
        <v>UK</v>
      </c>
      <c r="Q11" s="8" t="str">
        <f t="shared" si="3"/>
        <v>OCT</v>
      </c>
    </row>
    <row r="12" ht="15.75" customHeight="1" spans="1:17">
      <c r="A12" s="6" t="s">
        <v>55</v>
      </c>
      <c r="B12" s="6" t="s">
        <v>15</v>
      </c>
      <c r="C12" s="6" t="s">
        <v>56</v>
      </c>
      <c r="D12" s="6">
        <v>950</v>
      </c>
      <c r="E12" s="6">
        <v>25</v>
      </c>
      <c r="F12" s="6" t="s">
        <v>17</v>
      </c>
      <c r="G12" s="6"/>
      <c r="L12" s="8" t="str">
        <f t="shared" si="0"/>
        <v>High Price</v>
      </c>
      <c r="O12" s="8" t="str">
        <f t="shared" si="1"/>
        <v>17</v>
      </c>
      <c r="P12" s="8" t="str">
        <f t="shared" si="2"/>
        <v>IN</v>
      </c>
      <c r="Q12" s="8" t="str">
        <f t="shared" si="3"/>
        <v>JUN</v>
      </c>
    </row>
    <row r="13" ht="15.75" customHeight="1" spans="1:17">
      <c r="A13" s="10" t="s">
        <v>57</v>
      </c>
      <c r="B13" s="10" t="s">
        <v>24</v>
      </c>
      <c r="C13" s="10" t="s">
        <v>45</v>
      </c>
      <c r="D13" s="10">
        <v>90</v>
      </c>
      <c r="E13" s="10">
        <v>40</v>
      </c>
      <c r="F13" s="10" t="s">
        <v>26</v>
      </c>
      <c r="G13" s="6"/>
      <c r="L13" s="8" t="str">
        <f t="shared" si="0"/>
        <v>Standard Price</v>
      </c>
      <c r="O13" s="8" t="str">
        <f t="shared" si="1"/>
        <v>25</v>
      </c>
      <c r="P13" s="8" t="str">
        <f t="shared" si="2"/>
        <v>AU</v>
      </c>
      <c r="Q13" s="8" t="str">
        <f t="shared" si="3"/>
        <v>NOV</v>
      </c>
    </row>
    <row r="14" ht="15.75" customHeight="1" spans="1:17">
      <c r="A14" s="6" t="s">
        <v>58</v>
      </c>
      <c r="B14" s="6" t="s">
        <v>30</v>
      </c>
      <c r="C14" s="6" t="s">
        <v>59</v>
      </c>
      <c r="D14" s="6">
        <v>120</v>
      </c>
      <c r="E14" s="6">
        <v>35</v>
      </c>
      <c r="F14" s="6" t="s">
        <v>32</v>
      </c>
      <c r="G14" s="6"/>
      <c r="L14" s="8" t="str">
        <f t="shared" si="0"/>
        <v>Standard Price</v>
      </c>
      <c r="O14" s="8" t="str">
        <f t="shared" si="1"/>
        <v>08</v>
      </c>
      <c r="P14" s="8" t="str">
        <f t="shared" si="2"/>
        <v>DE</v>
      </c>
      <c r="Q14" s="8" t="str">
        <f t="shared" si="3"/>
        <v>DEC</v>
      </c>
    </row>
    <row r="15" ht="15.75" customHeight="1" spans="1:17">
      <c r="A15" s="10" t="s">
        <v>60</v>
      </c>
      <c r="B15" s="10" t="s">
        <v>61</v>
      </c>
      <c r="C15" s="10" t="s">
        <v>62</v>
      </c>
      <c r="D15" s="10">
        <v>150</v>
      </c>
      <c r="E15" s="10">
        <v>15</v>
      </c>
      <c r="F15" s="10" t="s">
        <v>17</v>
      </c>
      <c r="G15" s="6"/>
      <c r="L15" s="8" t="str">
        <f t="shared" si="0"/>
        <v>Standard Price</v>
      </c>
      <c r="O15" s="8" t="str">
        <f t="shared" si="1"/>
        <v>18</v>
      </c>
      <c r="P15" s="8" t="str">
        <f t="shared" si="2"/>
        <v>CA</v>
      </c>
      <c r="Q15" s="8" t="str">
        <f t="shared" si="3"/>
        <v>FEB</v>
      </c>
    </row>
    <row r="16" ht="15.75" customHeight="1" spans="1:17">
      <c r="A16" s="6" t="s">
        <v>63</v>
      </c>
      <c r="B16" s="6" t="s">
        <v>41</v>
      </c>
      <c r="C16" s="6" t="s">
        <v>64</v>
      </c>
      <c r="D16" s="6">
        <v>250</v>
      </c>
      <c r="E16" s="6">
        <v>20</v>
      </c>
      <c r="F16" s="6" t="s">
        <v>17</v>
      </c>
      <c r="G16" s="6"/>
      <c r="L16" s="8" t="str">
        <f t="shared" si="0"/>
        <v>Standard Price</v>
      </c>
      <c r="O16" s="8" t="str">
        <f t="shared" si="1"/>
        <v>16</v>
      </c>
      <c r="P16" s="8" t="str">
        <f t="shared" si="2"/>
        <v>ES</v>
      </c>
      <c r="Q16" s="8" t="str">
        <f t="shared" si="3"/>
        <v>APR</v>
      </c>
    </row>
    <row r="17" ht="15.75" customHeight="1" spans="1:17">
      <c r="A17" s="10" t="s">
        <v>65</v>
      </c>
      <c r="B17" s="10" t="s">
        <v>66</v>
      </c>
      <c r="C17" s="10" t="s">
        <v>67</v>
      </c>
      <c r="D17" s="10">
        <v>50</v>
      </c>
      <c r="E17" s="10">
        <v>35</v>
      </c>
      <c r="F17" s="10" t="s">
        <v>68</v>
      </c>
      <c r="G17" s="6"/>
      <c r="L17" s="8" t="str">
        <f t="shared" si="0"/>
        <v>Standard Price</v>
      </c>
      <c r="O17" s="8" t="str">
        <f t="shared" si="1"/>
        <v>21</v>
      </c>
      <c r="P17" s="8" t="str">
        <f t="shared" si="2"/>
        <v>CA</v>
      </c>
      <c r="Q17" s="8" t="str">
        <f t="shared" si="3"/>
        <v>AUG</v>
      </c>
    </row>
    <row r="18" ht="15.75" customHeight="1" spans="1:17">
      <c r="A18" s="6" t="s">
        <v>69</v>
      </c>
      <c r="B18" s="6" t="s">
        <v>61</v>
      </c>
      <c r="C18" s="6" t="s">
        <v>70</v>
      </c>
      <c r="D18" s="6">
        <v>160</v>
      </c>
      <c r="E18" s="6">
        <v>15</v>
      </c>
      <c r="F18" s="6" t="s">
        <v>17</v>
      </c>
      <c r="G18" s="6"/>
      <c r="L18" s="8" t="str">
        <f t="shared" si="0"/>
        <v>Standard Price</v>
      </c>
      <c r="O18" s="8" t="str">
        <f t="shared" si="1"/>
        <v>20</v>
      </c>
      <c r="P18" s="8" t="str">
        <f t="shared" si="2"/>
        <v>CN</v>
      </c>
      <c r="Q18" s="8" t="str">
        <f t="shared" si="3"/>
        <v>AUG</v>
      </c>
    </row>
    <row r="19" ht="15.75" customHeight="1" spans="1:17">
      <c r="A19" s="10" t="s">
        <v>71</v>
      </c>
      <c r="B19" s="10" t="s">
        <v>15</v>
      </c>
      <c r="C19" s="10" t="s">
        <v>72</v>
      </c>
      <c r="D19" s="10">
        <v>980</v>
      </c>
      <c r="E19" s="10">
        <v>10</v>
      </c>
      <c r="F19" s="10" t="s">
        <v>17</v>
      </c>
      <c r="G19" s="6"/>
      <c r="L19" s="8" t="str">
        <f t="shared" si="0"/>
        <v>High Price</v>
      </c>
      <c r="O19" s="8" t="str">
        <f t="shared" si="1"/>
        <v>27</v>
      </c>
      <c r="P19" s="8" t="str">
        <f t="shared" si="2"/>
        <v>IT</v>
      </c>
      <c r="Q19" s="8" t="str">
        <f t="shared" si="3"/>
        <v>JAN</v>
      </c>
    </row>
    <row r="20" ht="15.75" customHeight="1" spans="1:17">
      <c r="A20" s="6" t="s">
        <v>73</v>
      </c>
      <c r="B20" s="6" t="s">
        <v>74</v>
      </c>
      <c r="C20" s="6" t="s">
        <v>75</v>
      </c>
      <c r="D20" s="6">
        <v>150</v>
      </c>
      <c r="E20" s="6">
        <v>15</v>
      </c>
      <c r="F20" s="6" t="s">
        <v>26</v>
      </c>
      <c r="G20" s="6"/>
      <c r="L20" s="8" t="str">
        <f t="shared" si="0"/>
        <v>Standard Price</v>
      </c>
      <c r="O20" s="8" t="str">
        <f t="shared" si="1"/>
        <v>01</v>
      </c>
      <c r="P20" s="8" t="str">
        <f t="shared" si="2"/>
        <v>UK</v>
      </c>
      <c r="Q20" s="8" t="str">
        <f t="shared" si="3"/>
        <v>MAR</v>
      </c>
    </row>
    <row r="21" ht="15.75" customHeight="1" spans="1:17">
      <c r="A21" s="10" t="s">
        <v>76</v>
      </c>
      <c r="B21" s="10" t="s">
        <v>77</v>
      </c>
      <c r="C21" s="10" t="s">
        <v>78</v>
      </c>
      <c r="D21" s="10">
        <v>200</v>
      </c>
      <c r="E21" s="10">
        <v>10</v>
      </c>
      <c r="F21" s="10" t="s">
        <v>39</v>
      </c>
      <c r="G21" s="6"/>
      <c r="L21" s="8" t="str">
        <f t="shared" si="0"/>
        <v>Standard Price</v>
      </c>
      <c r="O21" s="8" t="str">
        <f t="shared" si="1"/>
        <v>14</v>
      </c>
      <c r="P21" s="8" t="str">
        <f t="shared" si="2"/>
        <v>US</v>
      </c>
      <c r="Q21" s="8" t="str">
        <f t="shared" si="3"/>
        <v>AUG</v>
      </c>
    </row>
    <row r="22" ht="15.75" customHeight="1" spans="1:17">
      <c r="A22" s="6" t="s">
        <v>79</v>
      </c>
      <c r="B22" s="6" t="s">
        <v>80</v>
      </c>
      <c r="C22" s="6" t="s">
        <v>81</v>
      </c>
      <c r="D22" s="6">
        <v>700</v>
      </c>
      <c r="E22" s="6">
        <v>50</v>
      </c>
      <c r="F22" s="6" t="s">
        <v>17</v>
      </c>
      <c r="G22" s="6"/>
      <c r="L22" s="8" t="str">
        <f t="shared" si="0"/>
        <v>High Price</v>
      </c>
      <c r="O22" s="8" t="str">
        <f t="shared" si="1"/>
        <v>14</v>
      </c>
      <c r="P22" s="8" t="str">
        <f t="shared" si="2"/>
        <v>RU</v>
      </c>
      <c r="Q22" s="8" t="str">
        <f t="shared" si="3"/>
        <v>MAY</v>
      </c>
    </row>
    <row r="23" ht="15.75" customHeight="1" spans="1:17">
      <c r="A23" s="10" t="s">
        <v>82</v>
      </c>
      <c r="B23" s="10" t="s">
        <v>83</v>
      </c>
      <c r="C23" s="10" t="s">
        <v>84</v>
      </c>
      <c r="D23" s="10">
        <v>80</v>
      </c>
      <c r="E23" s="10">
        <v>20</v>
      </c>
      <c r="F23" s="10" t="s">
        <v>32</v>
      </c>
      <c r="G23" s="6"/>
      <c r="L23" s="8" t="str">
        <f t="shared" si="0"/>
        <v>Standard Price</v>
      </c>
      <c r="O23" s="8" t="str">
        <f t="shared" si="1"/>
        <v>09</v>
      </c>
      <c r="P23" s="8" t="str">
        <f t="shared" si="2"/>
        <v>CA</v>
      </c>
      <c r="Q23" s="8" t="str">
        <f t="shared" si="3"/>
        <v>JAN</v>
      </c>
    </row>
    <row r="24" ht="15.75" customHeight="1" spans="1:17">
      <c r="A24" s="6" t="s">
        <v>85</v>
      </c>
      <c r="B24" s="6" t="s">
        <v>86</v>
      </c>
      <c r="C24" s="6" t="s">
        <v>87</v>
      </c>
      <c r="D24" s="6">
        <v>150</v>
      </c>
      <c r="E24" s="6">
        <v>30</v>
      </c>
      <c r="F24" s="6" t="s">
        <v>17</v>
      </c>
      <c r="G24" s="6"/>
      <c r="L24" s="8" t="str">
        <f t="shared" si="0"/>
        <v>Standard Price</v>
      </c>
      <c r="O24" s="8" t="str">
        <f t="shared" si="1"/>
        <v>19</v>
      </c>
      <c r="P24" s="8" t="str">
        <f t="shared" si="2"/>
        <v>BR</v>
      </c>
      <c r="Q24" s="8" t="str">
        <f t="shared" si="3"/>
        <v>JUL</v>
      </c>
    </row>
    <row r="25" ht="15.75" customHeight="1" spans="1:17">
      <c r="A25" s="10" t="s">
        <v>65</v>
      </c>
      <c r="B25" s="10" t="s">
        <v>66</v>
      </c>
      <c r="C25" s="10" t="s">
        <v>67</v>
      </c>
      <c r="D25" s="10">
        <v>50</v>
      </c>
      <c r="E25" s="10">
        <v>35</v>
      </c>
      <c r="F25" s="10" t="s">
        <v>68</v>
      </c>
      <c r="G25" s="6"/>
      <c r="L25" s="8" t="str">
        <f t="shared" si="0"/>
        <v>Standard Price</v>
      </c>
      <c r="O25" s="8" t="str">
        <f t="shared" si="1"/>
        <v>21</v>
      </c>
      <c r="P25" s="8" t="str">
        <f t="shared" si="2"/>
        <v>CA</v>
      </c>
      <c r="Q25" s="8" t="str">
        <f t="shared" si="3"/>
        <v>AUG</v>
      </c>
    </row>
    <row r="26" ht="15.75" customHeight="1" spans="1:17">
      <c r="A26" s="6" t="s">
        <v>88</v>
      </c>
      <c r="B26" s="6" t="s">
        <v>34</v>
      </c>
      <c r="C26" s="6" t="s">
        <v>89</v>
      </c>
      <c r="D26" s="6">
        <v>800</v>
      </c>
      <c r="E26" s="6">
        <v>45</v>
      </c>
      <c r="F26" s="6" t="s">
        <v>17</v>
      </c>
      <c r="G26" s="6"/>
      <c r="L26" s="8" t="str">
        <f t="shared" si="0"/>
        <v>High Price</v>
      </c>
      <c r="O26" s="8" t="str">
        <f t="shared" si="1"/>
        <v>29</v>
      </c>
      <c r="P26" s="8" t="str">
        <f t="shared" si="2"/>
        <v>CA</v>
      </c>
      <c r="Q26" s="8" t="str">
        <f t="shared" si="3"/>
        <v>SEP</v>
      </c>
    </row>
    <row r="27" ht="15.75" customHeight="1" spans="1:17">
      <c r="A27" s="10" t="s">
        <v>90</v>
      </c>
      <c r="B27" s="10" t="s">
        <v>74</v>
      </c>
      <c r="C27" s="10" t="s">
        <v>91</v>
      </c>
      <c r="D27" s="10">
        <v>130</v>
      </c>
      <c r="E27" s="10">
        <v>25</v>
      </c>
      <c r="F27" s="10" t="s">
        <v>26</v>
      </c>
      <c r="G27" s="6"/>
      <c r="L27" s="8" t="str">
        <f t="shared" si="0"/>
        <v>Standard Price</v>
      </c>
      <c r="O27" s="8" t="str">
        <f t="shared" si="1"/>
        <v>03</v>
      </c>
      <c r="P27" s="8" t="str">
        <f t="shared" si="2"/>
        <v>CA</v>
      </c>
      <c r="Q27" s="8" t="str">
        <f t="shared" si="3"/>
        <v>JUN</v>
      </c>
    </row>
    <row r="28" ht="15.75" customHeight="1" spans="1:17">
      <c r="A28" s="6" t="s">
        <v>92</v>
      </c>
      <c r="B28" s="6" t="s">
        <v>47</v>
      </c>
      <c r="C28" s="6" t="s">
        <v>93</v>
      </c>
      <c r="D28" s="6">
        <v>400</v>
      </c>
      <c r="E28" s="6">
        <v>40</v>
      </c>
      <c r="F28" s="6" t="s">
        <v>32</v>
      </c>
      <c r="G28" s="6"/>
      <c r="L28" s="8" t="str">
        <f t="shared" si="0"/>
        <v>Standard Price</v>
      </c>
      <c r="O28" s="8" t="str">
        <f t="shared" si="1"/>
        <v>11</v>
      </c>
      <c r="P28" s="8" t="str">
        <f t="shared" si="2"/>
        <v>CA</v>
      </c>
      <c r="Q28" s="8" t="str">
        <f t="shared" si="3"/>
        <v>JUL</v>
      </c>
    </row>
    <row r="29" ht="15.75" customHeight="1" spans="1:17">
      <c r="A29" s="10" t="s">
        <v>63</v>
      </c>
      <c r="B29" s="10" t="s">
        <v>41</v>
      </c>
      <c r="C29" s="10" t="s">
        <v>64</v>
      </c>
      <c r="D29" s="10">
        <v>230</v>
      </c>
      <c r="E29" s="10">
        <v>20</v>
      </c>
      <c r="F29" s="10" t="s">
        <v>17</v>
      </c>
      <c r="G29" s="6"/>
      <c r="L29" s="8" t="str">
        <f t="shared" si="0"/>
        <v>Standard Price</v>
      </c>
      <c r="O29" s="8" t="str">
        <f t="shared" si="1"/>
        <v>16</v>
      </c>
      <c r="P29" s="8" t="str">
        <f t="shared" si="2"/>
        <v>ES</v>
      </c>
      <c r="Q29" s="8" t="str">
        <f t="shared" si="3"/>
        <v>APR</v>
      </c>
    </row>
    <row r="30" ht="15.75" customHeight="1" spans="1:17">
      <c r="A30" s="6" t="s">
        <v>94</v>
      </c>
      <c r="B30" s="6" t="s">
        <v>95</v>
      </c>
      <c r="C30" s="6" t="s">
        <v>96</v>
      </c>
      <c r="D30" s="6">
        <v>60</v>
      </c>
      <c r="E30" s="6">
        <v>30</v>
      </c>
      <c r="F30" s="6" t="s">
        <v>26</v>
      </c>
      <c r="G30" s="6"/>
      <c r="L30" s="8" t="str">
        <f t="shared" si="0"/>
        <v>Standard Price</v>
      </c>
      <c r="O30" s="8" t="str">
        <f t="shared" si="1"/>
        <v>07</v>
      </c>
      <c r="P30" s="8" t="str">
        <f t="shared" si="2"/>
        <v>CA</v>
      </c>
      <c r="Q30" s="8" t="str">
        <f t="shared" si="3"/>
        <v>MAR</v>
      </c>
    </row>
    <row r="31" ht="15.75" customHeight="1" spans="1:17">
      <c r="A31" s="10" t="s">
        <v>97</v>
      </c>
      <c r="B31" s="10" t="s">
        <v>98</v>
      </c>
      <c r="C31" s="10" t="s">
        <v>99</v>
      </c>
      <c r="D31" s="10">
        <v>40</v>
      </c>
      <c r="E31" s="10">
        <v>10</v>
      </c>
      <c r="F31" s="10" t="s">
        <v>32</v>
      </c>
      <c r="G31" s="6"/>
      <c r="L31" s="8" t="str">
        <f t="shared" si="0"/>
        <v>Standard Price</v>
      </c>
      <c r="O31" s="8" t="str">
        <f t="shared" si="1"/>
        <v>13</v>
      </c>
      <c r="P31" s="8" t="str">
        <f t="shared" si="2"/>
        <v>CA</v>
      </c>
      <c r="Q31" s="8" t="str">
        <f t="shared" si="3"/>
        <v>APR</v>
      </c>
    </row>
    <row r="32" ht="15.75" customHeight="1" spans="1:17">
      <c r="A32" s="6" t="s">
        <v>100</v>
      </c>
      <c r="B32" s="6" t="s">
        <v>86</v>
      </c>
      <c r="C32" s="6" t="s">
        <v>101</v>
      </c>
      <c r="D32" s="6">
        <v>130</v>
      </c>
      <c r="E32" s="6">
        <v>5</v>
      </c>
      <c r="F32" s="6" t="s">
        <v>17</v>
      </c>
      <c r="G32" s="6"/>
      <c r="L32" s="8" t="str">
        <f t="shared" si="0"/>
        <v>Standard Price</v>
      </c>
      <c r="O32" s="8" t="str">
        <f t="shared" si="1"/>
        <v>24</v>
      </c>
      <c r="P32" s="8" t="str">
        <f t="shared" si="2"/>
        <v>CA</v>
      </c>
      <c r="Q32" s="8" t="str">
        <f t="shared" si="3"/>
        <v>MAY</v>
      </c>
    </row>
    <row r="33" ht="15.75" customHeight="1" spans="1:17">
      <c r="A33" s="10" t="s">
        <v>102</v>
      </c>
      <c r="B33" s="10" t="s">
        <v>103</v>
      </c>
      <c r="C33" s="10" t="s">
        <v>104</v>
      </c>
      <c r="D33" s="10">
        <v>50</v>
      </c>
      <c r="E33" s="10">
        <v>50</v>
      </c>
      <c r="F33" s="10" t="s">
        <v>26</v>
      </c>
      <c r="G33" s="6"/>
      <c r="L33" s="8" t="str">
        <f t="shared" si="0"/>
        <v>Standard Price</v>
      </c>
      <c r="O33" s="8" t="str">
        <f t="shared" si="1"/>
        <v>02</v>
      </c>
      <c r="P33" s="8" t="str">
        <f t="shared" si="2"/>
        <v>CA</v>
      </c>
      <c r="Q33" s="8" t="str">
        <f t="shared" si="3"/>
        <v>DEC</v>
      </c>
    </row>
    <row r="34" ht="15.75" customHeight="1" spans="1:17">
      <c r="A34" s="6" t="s">
        <v>55</v>
      </c>
      <c r="B34" s="6" t="s">
        <v>15</v>
      </c>
      <c r="C34" s="6" t="s">
        <v>56</v>
      </c>
      <c r="D34" s="6">
        <v>950</v>
      </c>
      <c r="E34" s="6">
        <v>25</v>
      </c>
      <c r="F34" s="6" t="s">
        <v>17</v>
      </c>
      <c r="G34" s="6"/>
      <c r="L34" s="8" t="str">
        <f t="shared" si="0"/>
        <v>High Price</v>
      </c>
      <c r="O34" s="8" t="str">
        <f t="shared" si="1"/>
        <v>17</v>
      </c>
      <c r="P34" s="8" t="str">
        <f t="shared" si="2"/>
        <v>IN</v>
      </c>
      <c r="Q34" s="8" t="str">
        <f t="shared" si="3"/>
        <v>JUN</v>
      </c>
    </row>
    <row r="35" ht="15.75" customHeight="1" spans="1:17">
      <c r="A35" s="10" t="s">
        <v>105</v>
      </c>
      <c r="B35" s="10" t="s">
        <v>106</v>
      </c>
      <c r="C35" s="10" t="s">
        <v>107</v>
      </c>
      <c r="D35" s="10">
        <v>100</v>
      </c>
      <c r="E35" s="10">
        <v>20</v>
      </c>
      <c r="F35" s="10" t="s">
        <v>68</v>
      </c>
      <c r="G35" s="6"/>
      <c r="L35" s="8" t="str">
        <f t="shared" si="0"/>
        <v>Standard Price</v>
      </c>
      <c r="O35" s="8" t="str">
        <f t="shared" si="1"/>
        <v>09</v>
      </c>
      <c r="P35" s="8" t="str">
        <f t="shared" si="2"/>
        <v>FR</v>
      </c>
      <c r="Q35" s="8" t="str">
        <f t="shared" si="3"/>
        <v>JUL</v>
      </c>
    </row>
    <row r="36" ht="15.75" customHeight="1" spans="1:17">
      <c r="G36" s="1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G1:I1"/>
    <mergeCell ref="J1:K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latha</cp:lastModifiedBy>
  <dcterms:created xsi:type="dcterms:W3CDTF">2026-06-05T14:01:40Z</dcterms:created>
  <dcterms:modified xsi:type="dcterms:W3CDTF">2026-06-05T16:40:31Z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9C2F4C04431846FB971DAE7E3A87C51C_13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